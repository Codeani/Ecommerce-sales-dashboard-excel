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0500F53-BE42-49D9-951D-BD9C3FC1C1D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w Data (Dirty)" sheetId="1" r:id="rId1"/>
    <sheet name="Data Cleaning Log" sheetId="2" r:id="rId2"/>
    <sheet name="Cleaned Data" sheetId="3" r:id="rId3"/>
    <sheet name="Summary &amp; KPIs" sheetId="4" r:id="rId4"/>
    <sheet name="Dashboard" sheetId="5" r:id="rId5"/>
    <sheet name="Product Lookup" sheetId="6" r:id="rId6"/>
    <sheet name="Monthly Trend" sheetId="7" r:id="rId7"/>
    <sheet name="Top Products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38" i="8" l="1"/>
  <c r="C38" i="8"/>
  <c r="E37" i="8"/>
  <c r="C37" i="8"/>
  <c r="E36" i="8"/>
  <c r="C36" i="8"/>
  <c r="E35" i="8"/>
  <c r="C35" i="8"/>
  <c r="E34" i="8"/>
  <c r="D34" i="8"/>
  <c r="F34" i="8" s="1"/>
  <c r="C34" i="8"/>
  <c r="E33" i="8"/>
  <c r="C33" i="8"/>
  <c r="E32" i="8"/>
  <c r="C32" i="8"/>
  <c r="E31" i="8"/>
  <c r="C31" i="8"/>
  <c r="E30" i="8"/>
  <c r="C30" i="8"/>
  <c r="E29" i="8"/>
  <c r="C29" i="8"/>
  <c r="E28" i="8"/>
  <c r="C28" i="8"/>
  <c r="E27" i="8"/>
  <c r="D27" i="8"/>
  <c r="F27" i="8" s="1"/>
  <c r="C27" i="8"/>
  <c r="E26" i="8"/>
  <c r="C26" i="8"/>
  <c r="E25" i="8"/>
  <c r="C25" i="8"/>
  <c r="E24" i="8"/>
  <c r="C24" i="8"/>
  <c r="E23" i="8"/>
  <c r="D23" i="8"/>
  <c r="F23" i="8" s="1"/>
  <c r="C23" i="8"/>
  <c r="E22" i="8"/>
  <c r="C22" i="8"/>
  <c r="E21" i="8"/>
  <c r="C21" i="8"/>
  <c r="E20" i="8"/>
  <c r="C20" i="8"/>
  <c r="E19" i="8"/>
  <c r="C19" i="8"/>
  <c r="E18" i="8"/>
  <c r="C18" i="8"/>
  <c r="E17" i="8"/>
  <c r="C17" i="8"/>
  <c r="E16" i="8"/>
  <c r="C16" i="8"/>
  <c r="E15" i="8"/>
  <c r="C15" i="8"/>
  <c r="E14" i="8"/>
  <c r="C14" i="8"/>
  <c r="E13" i="8"/>
  <c r="D13" i="8"/>
  <c r="F13" i="8" s="1"/>
  <c r="C13" i="8"/>
  <c r="E12" i="8"/>
  <c r="C12" i="8"/>
  <c r="E11" i="8"/>
  <c r="C11" i="8"/>
  <c r="E10" i="8"/>
  <c r="C10" i="8"/>
  <c r="E9" i="8"/>
  <c r="C9" i="8"/>
  <c r="E8" i="8"/>
  <c r="C8" i="8"/>
  <c r="E7" i="8"/>
  <c r="C7" i="8"/>
  <c r="E6" i="8"/>
  <c r="C6" i="8"/>
  <c r="E5" i="8"/>
  <c r="C5" i="8"/>
  <c r="E4" i="8"/>
  <c r="C4" i="8"/>
  <c r="B9" i="7"/>
  <c r="B8" i="7"/>
  <c r="B7" i="7"/>
  <c r="B6" i="7"/>
  <c r="B5" i="7"/>
  <c r="B4" i="7"/>
  <c r="B10" i="7" s="1"/>
  <c r="B15" i="6"/>
  <c r="B14" i="6"/>
  <c r="B13" i="6"/>
  <c r="B12" i="6"/>
  <c r="B10" i="6"/>
  <c r="B9" i="6"/>
  <c r="B8" i="6"/>
  <c r="B7" i="6"/>
  <c r="B6" i="6"/>
  <c r="B5" i="6"/>
  <c r="E18" i="4"/>
  <c r="E17" i="4"/>
  <c r="E16" i="4"/>
  <c r="E15" i="4"/>
  <c r="E14" i="4"/>
  <c r="B11" i="4"/>
  <c r="H10" i="4"/>
  <c r="E10" i="4"/>
  <c r="B10" i="4"/>
  <c r="H9" i="4"/>
  <c r="E9" i="4"/>
  <c r="H8" i="4"/>
  <c r="E8" i="4"/>
  <c r="B8" i="4"/>
  <c r="H7" i="4"/>
  <c r="E7" i="4"/>
  <c r="B7" i="4"/>
  <c r="H6" i="4"/>
  <c r="E6" i="4"/>
  <c r="H5" i="4"/>
  <c r="E5" i="4"/>
  <c r="H4" i="4"/>
  <c r="E4" i="4"/>
  <c r="E11" i="4" s="1"/>
  <c r="B4" i="4"/>
  <c r="B9" i="4" s="1"/>
  <c r="J81" i="3"/>
  <c r="H81" i="3"/>
  <c r="H80" i="3"/>
  <c r="J80" i="3" s="1"/>
  <c r="H79" i="3"/>
  <c r="J79" i="3" s="1"/>
  <c r="H78" i="3"/>
  <c r="J78" i="3" s="1"/>
  <c r="J77" i="3"/>
  <c r="H77" i="3"/>
  <c r="H76" i="3"/>
  <c r="J76" i="3" s="1"/>
  <c r="D18" i="8" s="1"/>
  <c r="F18" i="8" s="1"/>
  <c r="H75" i="3"/>
  <c r="J75" i="3" s="1"/>
  <c r="H74" i="3"/>
  <c r="J74" i="3" s="1"/>
  <c r="J73" i="3"/>
  <c r="H73" i="3"/>
  <c r="H72" i="3"/>
  <c r="J72" i="3" s="1"/>
  <c r="H71" i="3"/>
  <c r="J71" i="3" s="1"/>
  <c r="D15" i="8" s="1"/>
  <c r="F15" i="8" s="1"/>
  <c r="H70" i="3"/>
  <c r="J70" i="3" s="1"/>
  <c r="J69" i="3"/>
  <c r="H69" i="3"/>
  <c r="H68" i="3"/>
  <c r="J68" i="3" s="1"/>
  <c r="D32" i="8" s="1"/>
  <c r="F32" i="8" s="1"/>
  <c r="H67" i="3"/>
  <c r="J67" i="3" s="1"/>
  <c r="H66" i="3"/>
  <c r="J66" i="3" s="1"/>
  <c r="J65" i="3"/>
  <c r="H65" i="3"/>
  <c r="H64" i="3"/>
  <c r="J64" i="3" s="1"/>
  <c r="H63" i="3"/>
  <c r="J63" i="3" s="1"/>
  <c r="H62" i="3"/>
  <c r="J62" i="3" s="1"/>
  <c r="J61" i="3"/>
  <c r="H61" i="3"/>
  <c r="H60" i="3"/>
  <c r="J60" i="3" s="1"/>
  <c r="H59" i="3"/>
  <c r="J59" i="3" s="1"/>
  <c r="H58" i="3"/>
  <c r="J58" i="3" s="1"/>
  <c r="D5" i="8" s="1"/>
  <c r="F5" i="8" s="1"/>
  <c r="J57" i="3"/>
  <c r="H57" i="3"/>
  <c r="H56" i="3"/>
  <c r="J56" i="3" s="1"/>
  <c r="H55" i="3"/>
  <c r="J55" i="3" s="1"/>
  <c r="H54" i="3"/>
  <c r="J54" i="3" s="1"/>
  <c r="D17" i="8" s="1"/>
  <c r="F17" i="8" s="1"/>
  <c r="J53" i="3"/>
  <c r="H53" i="3"/>
  <c r="H52" i="3"/>
  <c r="J52" i="3" s="1"/>
  <c r="D10" i="8" s="1"/>
  <c r="F10" i="8" s="1"/>
  <c r="H51" i="3"/>
  <c r="J51" i="3" s="1"/>
  <c r="D31" i="8" s="1"/>
  <c r="F31" i="8" s="1"/>
  <c r="H50" i="3"/>
  <c r="J50" i="3" s="1"/>
  <c r="J49" i="3"/>
  <c r="H49" i="3"/>
  <c r="H48" i="3"/>
  <c r="J48" i="3" s="1"/>
  <c r="D12" i="8" s="1"/>
  <c r="F12" i="8" s="1"/>
  <c r="H47" i="3"/>
  <c r="J47" i="3" s="1"/>
  <c r="H46" i="3"/>
  <c r="J46" i="3" s="1"/>
  <c r="J45" i="3"/>
  <c r="H45" i="3"/>
  <c r="H44" i="3"/>
  <c r="J44" i="3" s="1"/>
  <c r="H43" i="3"/>
  <c r="J43" i="3" s="1"/>
  <c r="H42" i="3"/>
  <c r="J42" i="3" s="1"/>
  <c r="J41" i="3"/>
  <c r="H41" i="3"/>
  <c r="H40" i="3"/>
  <c r="J40" i="3" s="1"/>
  <c r="H39" i="3"/>
  <c r="J39" i="3" s="1"/>
  <c r="H38" i="3"/>
  <c r="J38" i="3" s="1"/>
  <c r="D11" i="8" s="1"/>
  <c r="F11" i="8" s="1"/>
  <c r="J37" i="3"/>
  <c r="H37" i="3"/>
  <c r="H36" i="3"/>
  <c r="J36" i="3" s="1"/>
  <c r="H35" i="3"/>
  <c r="J35" i="3" s="1"/>
  <c r="H34" i="3"/>
  <c r="J34" i="3" s="1"/>
  <c r="D24" i="8" s="1"/>
  <c r="F24" i="8" s="1"/>
  <c r="J33" i="3"/>
  <c r="H33" i="3"/>
  <c r="H32" i="3"/>
  <c r="J32" i="3" s="1"/>
  <c r="D16" i="8" s="1"/>
  <c r="F16" i="8" s="1"/>
  <c r="H31" i="3"/>
  <c r="J31" i="3" s="1"/>
  <c r="H30" i="3"/>
  <c r="J30" i="3" s="1"/>
  <c r="J29" i="3"/>
  <c r="H29" i="3"/>
  <c r="H28" i="3"/>
  <c r="J28" i="3" s="1"/>
  <c r="H27" i="3"/>
  <c r="J27" i="3" s="1"/>
  <c r="D35" i="8" s="1"/>
  <c r="F35" i="8" s="1"/>
  <c r="H26" i="3"/>
  <c r="J26" i="3" s="1"/>
  <c r="D29" i="8" s="1"/>
  <c r="F29" i="8" s="1"/>
  <c r="J25" i="3"/>
  <c r="D22" i="8" s="1"/>
  <c r="F22" i="8" s="1"/>
  <c r="H25" i="3"/>
  <c r="H24" i="3"/>
  <c r="J24" i="3" s="1"/>
  <c r="H23" i="3"/>
  <c r="J23" i="3" s="1"/>
  <c r="H22" i="3"/>
  <c r="J22" i="3" s="1"/>
  <c r="D37" i="8" s="1"/>
  <c r="F37" i="8" s="1"/>
  <c r="J21" i="3"/>
  <c r="H21" i="3"/>
  <c r="H20" i="3"/>
  <c r="J20" i="3" s="1"/>
  <c r="H19" i="3"/>
  <c r="J19" i="3" s="1"/>
  <c r="D4" i="8" s="1"/>
  <c r="F4" i="8" s="1"/>
  <c r="H18" i="3"/>
  <c r="J18" i="3" s="1"/>
  <c r="J17" i="3"/>
  <c r="H17" i="3"/>
  <c r="H16" i="3"/>
  <c r="J16" i="3" s="1"/>
  <c r="D33" i="8" s="1"/>
  <c r="F33" i="8" s="1"/>
  <c r="H15" i="3"/>
  <c r="J15" i="3" s="1"/>
  <c r="D26" i="8" s="1"/>
  <c r="F26" i="8" s="1"/>
  <c r="H14" i="3"/>
  <c r="J14" i="3" s="1"/>
  <c r="J13" i="3"/>
  <c r="D36" i="8" s="1"/>
  <c r="F36" i="8" s="1"/>
  <c r="H13" i="3"/>
  <c r="H12" i="3"/>
  <c r="J12" i="3" s="1"/>
  <c r="D21" i="8" s="1"/>
  <c r="F21" i="8" s="1"/>
  <c r="H11" i="3"/>
  <c r="J11" i="3" s="1"/>
  <c r="H10" i="3"/>
  <c r="J10" i="3" s="1"/>
  <c r="J9" i="3"/>
  <c r="H9" i="3"/>
  <c r="H8" i="3"/>
  <c r="J8" i="3" s="1"/>
  <c r="H7" i="3"/>
  <c r="J7" i="3" s="1"/>
  <c r="H6" i="3"/>
  <c r="J6" i="3" s="1"/>
  <c r="J5" i="3"/>
  <c r="B17" i="4" s="1"/>
  <c r="H5" i="3"/>
  <c r="H4" i="3"/>
  <c r="J4" i="3" s="1"/>
  <c r="H3" i="3"/>
  <c r="J3" i="3" s="1"/>
  <c r="H2" i="3"/>
  <c r="J2" i="3" s="1"/>
  <c r="B16" i="4" l="1"/>
  <c r="D7" i="8"/>
  <c r="F7" i="8" s="1"/>
  <c r="D28" i="8"/>
  <c r="F28" i="8" s="1"/>
  <c r="D8" i="8"/>
  <c r="F8" i="8" s="1"/>
  <c r="F4" i="4"/>
  <c r="F8" i="4"/>
  <c r="B15" i="4"/>
  <c r="D25" i="8"/>
  <c r="F25" i="8" s="1"/>
  <c r="D19" i="8"/>
  <c r="F19" i="8" s="1"/>
  <c r="C9" i="7"/>
  <c r="C7" i="7"/>
  <c r="C5" i="7"/>
  <c r="B11" i="6"/>
  <c r="B18" i="4"/>
  <c r="F9" i="4"/>
  <c r="D30" i="8"/>
  <c r="F30" i="8" s="1"/>
  <c r="B5" i="4"/>
  <c r="B6" i="4" s="1"/>
  <c r="C4" i="7"/>
  <c r="C8" i="7"/>
  <c r="C6" i="7"/>
  <c r="F5" i="4"/>
  <c r="D20" i="8"/>
  <c r="F20" i="8" s="1"/>
  <c r="F7" i="4"/>
  <c r="D14" i="8"/>
  <c r="F14" i="8" s="1"/>
  <c r="F6" i="4"/>
  <c r="B14" i="4"/>
  <c r="D6" i="8"/>
  <c r="F6" i="8" s="1"/>
  <c r="D38" i="8"/>
  <c r="F38" i="8" s="1"/>
  <c r="D9" i="8"/>
  <c r="F9" i="8" s="1"/>
  <c r="F10" i="4"/>
  <c r="G10" i="4" s="1"/>
  <c r="E6" i="7" l="1"/>
  <c r="D6" i="7"/>
  <c r="E8" i="7"/>
  <c r="D8" i="7"/>
  <c r="G7" i="4"/>
  <c r="G9" i="4"/>
  <c r="G8" i="4"/>
  <c r="G5" i="4"/>
  <c r="G4" i="4"/>
  <c r="F11" i="4"/>
  <c r="E5" i="7"/>
  <c r="D5" i="7"/>
  <c r="E7" i="7"/>
  <c r="D7" i="7"/>
  <c r="E9" i="7"/>
  <c r="D9" i="7"/>
  <c r="D4" i="7"/>
  <c r="C10" i="7"/>
  <c r="G6" i="4"/>
</calcChain>
</file>

<file path=xl/sharedStrings.xml><?xml version="1.0" encoding="utf-8"?>
<sst xmlns="http://schemas.openxmlformats.org/spreadsheetml/2006/main" count="1699" uniqueCount="466">
  <si>
    <t>Order_ID</t>
  </si>
  <si>
    <t>Date</t>
  </si>
  <si>
    <t>Customer_Name</t>
  </si>
  <si>
    <t>Category</t>
  </si>
  <si>
    <t>Product</t>
  </si>
  <si>
    <t>Quantity</t>
  </si>
  <si>
    <t>Unit_Price</t>
  </si>
  <si>
    <t>Region</t>
  </si>
  <si>
    <t>Payment_Method</t>
  </si>
  <si>
    <t>Order_Status</t>
  </si>
  <si>
    <t>Discount_Pct</t>
  </si>
  <si>
    <t>Return_Flag</t>
  </si>
  <si>
    <t>ORD-2001</t>
  </si>
  <si>
    <t>2024-03-11</t>
  </si>
  <si>
    <t>Sneha Patel</t>
  </si>
  <si>
    <t>Toys</t>
  </si>
  <si>
    <t>Lego Set</t>
  </si>
  <si>
    <t>Central</t>
  </si>
  <si>
    <t>Cash on Delivery</t>
  </si>
  <si>
    <t>Delivered</t>
  </si>
  <si>
    <t>No</t>
  </si>
  <si>
    <t>ORD-2002</t>
  </si>
  <si>
    <t>2024-06-22</t>
  </si>
  <si>
    <t>Nisha Tiwari</t>
  </si>
  <si>
    <t>Books</t>
  </si>
  <si>
    <t>Python Book</t>
  </si>
  <si>
    <t>West</t>
  </si>
  <si>
    <t>Credit Card</t>
  </si>
  <si>
    <t>Yes</t>
  </si>
  <si>
    <t>ORD-2003</t>
  </si>
  <si>
    <t>Deepak Joshi</t>
  </si>
  <si>
    <t>Clothing</t>
  </si>
  <si>
    <t>Kurta</t>
  </si>
  <si>
    <t>ORD-2004</t>
  </si>
  <si>
    <t>2024-02-23</t>
  </si>
  <si>
    <t>Puzzle</t>
  </si>
  <si>
    <t>South</t>
  </si>
  <si>
    <t>Debit Card</t>
  </si>
  <si>
    <t>ORD-2005</t>
  </si>
  <si>
    <t>2024-04-27</t>
  </si>
  <si>
    <t>Arjun Das</t>
  </si>
  <si>
    <t>Self-Help</t>
  </si>
  <si>
    <t>UPI</t>
  </si>
  <si>
    <t>ORD-2006</t>
  </si>
  <si>
    <t>2024-04-25</t>
  </si>
  <si>
    <t>Meera Iyer</t>
  </si>
  <si>
    <t>TOYS</t>
  </si>
  <si>
    <t>Net Banking</t>
  </si>
  <si>
    <t>ORD-2007</t>
  </si>
  <si>
    <t>2024-01-02</t>
  </si>
  <si>
    <t>Amit Sharma</t>
  </si>
  <si>
    <t>electronics</t>
  </si>
  <si>
    <t>Headphones</t>
  </si>
  <si>
    <t>ORD-2008</t>
  </si>
  <si>
    <t xml:space="preserve">  Priya Singh  </t>
  </si>
  <si>
    <t>Beauty</t>
  </si>
  <si>
    <t>Shampoo</t>
  </si>
  <si>
    <t>North</t>
  </si>
  <si>
    <t>Shipped</t>
  </si>
  <si>
    <t>ORD-2009</t>
  </si>
  <si>
    <t>02/01/2024</t>
  </si>
  <si>
    <t>Rahul Verma</t>
  </si>
  <si>
    <t>Fiction Novel</t>
  </si>
  <si>
    <t>ORD-2010</t>
  </si>
  <si>
    <t>2024-02-08</t>
  </si>
  <si>
    <t>Electronics</t>
  </si>
  <si>
    <t>Smartphone</t>
  </si>
  <si>
    <t>ORD-2011</t>
  </si>
  <si>
    <t>2024-06-24</t>
  </si>
  <si>
    <t>Pooja Nair</t>
  </si>
  <si>
    <t>ORD-2012</t>
  </si>
  <si>
    <t>2024-05-09</t>
  </si>
  <si>
    <t>Home &amp; Kitchen</t>
  </si>
  <si>
    <t>Pressure Cooker</t>
  </si>
  <si>
    <t xml:space="preserve">shipped </t>
  </si>
  <si>
    <t>ORD-2013</t>
  </si>
  <si>
    <t>2024-01-22</t>
  </si>
  <si>
    <t>Laptop</t>
  </si>
  <si>
    <t>Processing</t>
  </si>
  <si>
    <t>ORD-2014</t>
  </si>
  <si>
    <t>2024-04-18</t>
  </si>
  <si>
    <t>Sports</t>
  </si>
  <si>
    <t>Dumbbells</t>
  </si>
  <si>
    <t>ORD-2015</t>
  </si>
  <si>
    <t>2024-05-11</t>
  </si>
  <si>
    <t>RC Car</t>
  </si>
  <si>
    <t>ORD-2016</t>
  </si>
  <si>
    <t>2024-03-13</t>
  </si>
  <si>
    <t>Rohit Yadav</t>
  </si>
  <si>
    <t>PUZZLE</t>
  </si>
  <si>
    <t>East</t>
  </si>
  <si>
    <t>Cancelled</t>
  </si>
  <si>
    <t>ORD-2017</t>
  </si>
  <si>
    <t>2024-03-26</t>
  </si>
  <si>
    <t>Jacket</t>
  </si>
  <si>
    <t>ORD-2018</t>
  </si>
  <si>
    <t>2024-06-19</t>
  </si>
  <si>
    <t>Kavya Reddy</t>
  </si>
  <si>
    <t>Board Game</t>
  </si>
  <si>
    <t>ORD-2019</t>
  </si>
  <si>
    <t>2024-06-10</t>
  </si>
  <si>
    <t>Tablet</t>
  </si>
  <si>
    <t>ORD-2020</t>
  </si>
  <si>
    <t>2024-01-04</t>
  </si>
  <si>
    <t>Football</t>
  </si>
  <si>
    <t>ORD-2021</t>
  </si>
  <si>
    <t>2024-06-03</t>
  </si>
  <si>
    <t>Comics</t>
  </si>
  <si>
    <t>ORD-2022</t>
  </si>
  <si>
    <t>2024-04-08</t>
  </si>
  <si>
    <t>Curtain</t>
  </si>
  <si>
    <t>ORD-2023</t>
  </si>
  <si>
    <t>2024-05-21</t>
  </si>
  <si>
    <t>Karan Mehta</t>
  </si>
  <si>
    <t>CLOTHING</t>
  </si>
  <si>
    <t>ORD-2024</t>
  </si>
  <si>
    <t>books</t>
  </si>
  <si>
    <t>ORD-2025</t>
  </si>
  <si>
    <t>2024-03-16</t>
  </si>
  <si>
    <t>ORD-2026</t>
  </si>
  <si>
    <t>14/05/2024</t>
  </si>
  <si>
    <t>Water Bottle</t>
  </si>
  <si>
    <t>ORD-2027</t>
  </si>
  <si>
    <t>2024-04-13</t>
  </si>
  <si>
    <t>Vikas Gupta</t>
  </si>
  <si>
    <t>ORD-2028</t>
  </si>
  <si>
    <t>2024-04-17</t>
  </si>
  <si>
    <t>Suresh Kumar</t>
  </si>
  <si>
    <t>ORD-2029</t>
  </si>
  <si>
    <t>2024-01-12</t>
  </si>
  <si>
    <t>Priya Singh</t>
  </si>
  <si>
    <t>CANCELLED</t>
  </si>
  <si>
    <t>ORD-2030</t>
  </si>
  <si>
    <t>ORD-2031</t>
  </si>
  <si>
    <t>2024-06-14</t>
  </si>
  <si>
    <t>ORD-2032</t>
  </si>
  <si>
    <t>2024-01-01</t>
  </si>
  <si>
    <t>Anjali Roy</t>
  </si>
  <si>
    <t>Smartwatch</t>
  </si>
  <si>
    <t>ORD-2033</t>
  </si>
  <si>
    <t>2024-02-19</t>
  </si>
  <si>
    <t>FICTION NOVEL</t>
  </si>
  <si>
    <t>ORD-2034</t>
  </si>
  <si>
    <t>2024-03-10</t>
  </si>
  <si>
    <t>ORD-2035</t>
  </si>
  <si>
    <t>2024-05-16</t>
  </si>
  <si>
    <t>ORD-2036</t>
  </si>
  <si>
    <t>ORD-2037</t>
  </si>
  <si>
    <t>2024-01-18</t>
  </si>
  <si>
    <t>ORD-2038</t>
  </si>
  <si>
    <t>2024-02-10</t>
  </si>
  <si>
    <t>Face Cream</t>
  </si>
  <si>
    <t>ORD-2039</t>
  </si>
  <si>
    <t>2024-04-05</t>
  </si>
  <si>
    <t>Cricket Bat</t>
  </si>
  <si>
    <t>ORD-2040</t>
  </si>
  <si>
    <t>2024-01-27</t>
  </si>
  <si>
    <t>BOOKS</t>
  </si>
  <si>
    <t>ORD-2041</t>
  </si>
  <si>
    <t>2024-02-04</t>
  </si>
  <si>
    <t>sports</t>
  </si>
  <si>
    <t>Badminton Racket</t>
  </si>
  <si>
    <t>ORD-2042</t>
  </si>
  <si>
    <t xml:space="preserve">  Sneha Patel  </t>
  </si>
  <si>
    <t>ORD-2043</t>
  </si>
  <si>
    <t>06/06/2024</t>
  </si>
  <si>
    <t>ORD-2044</t>
  </si>
  <si>
    <t>2024-01-10</t>
  </si>
  <si>
    <t>ORD-2045</t>
  </si>
  <si>
    <t>2024-04-04</t>
  </si>
  <si>
    <t>ORD-2046</t>
  </si>
  <si>
    <t>2024-04-09</t>
  </si>
  <si>
    <t>ORD-2047</t>
  </si>
  <si>
    <t>Doll</t>
  </si>
  <si>
    <t>ORD-2048</t>
  </si>
  <si>
    <t>ORD-2049</t>
  </si>
  <si>
    <t>2024-03-15</t>
  </si>
  <si>
    <t>T-Shirt</t>
  </si>
  <si>
    <t>ORD-2050</t>
  </si>
  <si>
    <t>2024-02-17</t>
  </si>
  <si>
    <t>CURTAIN</t>
  </si>
  <si>
    <t>ORD-2051</t>
  </si>
  <si>
    <t>Mixer</t>
  </si>
  <si>
    <t>ORD-2052</t>
  </si>
  <si>
    <t>2024-03-04</t>
  </si>
  <si>
    <t>ORD-2053</t>
  </si>
  <si>
    <t>Lipstick</t>
  </si>
  <si>
    <t>ORD-2054</t>
  </si>
  <si>
    <t>2024-06-28</t>
  </si>
  <si>
    <t>ORD-2055</t>
  </si>
  <si>
    <t>2024-02-01</t>
  </si>
  <si>
    <t>ORD-2056</t>
  </si>
  <si>
    <t>ORD-2057</t>
  </si>
  <si>
    <t>2024-04-22</t>
  </si>
  <si>
    <t>HOME &amp; KITCHEN</t>
  </si>
  <si>
    <t>Bedsheet</t>
  </si>
  <si>
    <t>ORD-2058</t>
  </si>
  <si>
    <t>ORD-2059</t>
  </si>
  <si>
    <t>2024-02-11</t>
  </si>
  <si>
    <t>ORD-2060</t>
  </si>
  <si>
    <t>02/05/2024</t>
  </si>
  <si>
    <t>ORD-2061</t>
  </si>
  <si>
    <t>2024-05-19</t>
  </si>
  <si>
    <t>ORD-2062</t>
  </si>
  <si>
    <t>ORD-2063</t>
  </si>
  <si>
    <t>2024-04-16</t>
  </si>
  <si>
    <t>DELIVERED</t>
  </si>
  <si>
    <t>ORD-2064</t>
  </si>
  <si>
    <t>ORD-2065</t>
  </si>
  <si>
    <t>2024-03-19</t>
  </si>
  <si>
    <t>ORD-2066</t>
  </si>
  <si>
    <t>ORD-2067</t>
  </si>
  <si>
    <t>2024-06-15</t>
  </si>
  <si>
    <t>MIXER</t>
  </si>
  <si>
    <t>ORD-2068</t>
  </si>
  <si>
    <t>ORD-2069</t>
  </si>
  <si>
    <t>2024-03-02</t>
  </si>
  <si>
    <t>ORD-2070</t>
  </si>
  <si>
    <t>2024-06-02</t>
  </si>
  <si>
    <t>ORD-2071</t>
  </si>
  <si>
    <t>ORD-2072</t>
  </si>
  <si>
    <t>2024-04-21</t>
  </si>
  <si>
    <t>Jeans</t>
  </si>
  <si>
    <t>ORD-2073</t>
  </si>
  <si>
    <t>2024-05-26</t>
  </si>
  <si>
    <t>Sunscreen</t>
  </si>
  <si>
    <t>ORD-2074</t>
  </si>
  <si>
    <t>2024-04-06</t>
  </si>
  <si>
    <t>ORD-2075</t>
  </si>
  <si>
    <t>2024-05-15</t>
  </si>
  <si>
    <t>ORD-2076</t>
  </si>
  <si>
    <t>2024-06-05</t>
  </si>
  <si>
    <t xml:space="preserve">  Anjali Roy  </t>
  </si>
  <si>
    <t>ORD-2077</t>
  </si>
  <si>
    <t>01/06/2024</t>
  </si>
  <si>
    <t>ORD-2078</t>
  </si>
  <si>
    <t>ORD-2079</t>
  </si>
  <si>
    <t>2024-03-06</t>
  </si>
  <si>
    <t>ORD-2080</t>
  </si>
  <si>
    <t>🔴 Red cells = Dirty data  |  Problems: Nulls, Duplicates, Negative Qty, Mixed Case, Wrong Dates, Zero Price, Typos</t>
  </si>
  <si>
    <t>📋  DATA CLEANING LOG — All Problems &amp; Solutions</t>
  </si>
  <si>
    <t>#</t>
  </si>
  <si>
    <t>Problem Type</t>
  </si>
  <si>
    <t>Column</t>
  </si>
  <si>
    <t>Count</t>
  </si>
  <si>
    <t>Action Taken</t>
  </si>
  <si>
    <t>Duplicate Rows</t>
  </si>
  <si>
    <t>All</t>
  </si>
  <si>
    <t>~15 rows</t>
  </si>
  <si>
    <t>Removed all duplicate Order IDs, kept first occurrence only</t>
  </si>
  <si>
    <t>Null Region</t>
  </si>
  <si>
    <t>H (Region)</t>
  </si>
  <si>
    <t>~8 cells</t>
  </si>
  <si>
    <t>All blank Region cells filled with 'Unknown'</t>
  </si>
  <si>
    <t>Null Customer Name</t>
  </si>
  <si>
    <t>C (Customer_Name)</t>
  </si>
  <si>
    <t>~5 cells</t>
  </si>
  <si>
    <t>Blank names replaced with 'Guest User'</t>
  </si>
  <si>
    <t>Negative Quantity</t>
  </si>
  <si>
    <t>F (Quantity)</t>
  </si>
  <si>
    <t>All negative quantities converted to positive using ABS()</t>
  </si>
  <si>
    <t>UPPERCASE Category</t>
  </si>
  <si>
    <t>D (Category)</t>
  </si>
  <si>
    <t>~6 cells</t>
  </si>
  <si>
    <t>Standardised to Title Case using PROPER()</t>
  </si>
  <si>
    <t>lowercase category</t>
  </si>
  <si>
    <t>Extra Spaces in Name</t>
  </si>
  <si>
    <t>~4 cells</t>
  </si>
  <si>
    <t>Leading &amp; trailing spaces removed using TRIM()</t>
  </si>
  <si>
    <t>Mixed Date Format DD/MM/YYYY</t>
  </si>
  <si>
    <t>B (Date)</t>
  </si>
  <si>
    <t>~7 cells</t>
  </si>
  <si>
    <t>All dates standardised to YYYY-MM-DD format</t>
  </si>
  <si>
    <t>Null Discount</t>
  </si>
  <si>
    <t>K (Discount_Pct)</t>
  </si>
  <si>
    <t>Blank discounts filled with 0 (no discount assumed)</t>
  </si>
  <si>
    <t>Null Payment Method</t>
  </si>
  <si>
    <t>I (Payment_Method)</t>
  </si>
  <si>
    <t>Missing payment methods replaced with 'Unknown'</t>
  </si>
  <si>
    <t>Typo in Order Status</t>
  </si>
  <si>
    <t>J (Order_Status)</t>
  </si>
  <si>
    <t>All status values corrected &amp; standardised</t>
  </si>
  <si>
    <t>Null Return Flag</t>
  </si>
  <si>
    <t>L (Return_Flag)</t>
  </si>
  <si>
    <t>Blank return flags filled with 'No' (not returned by default)</t>
  </si>
  <si>
    <t>Zero / Invalid Price</t>
  </si>
  <si>
    <t>G (Unit_Price)</t>
  </si>
  <si>
    <t>~3 rows</t>
  </si>
  <si>
    <t>Invalid zero-price rows deleted from dataset</t>
  </si>
  <si>
    <t>Null Order Status</t>
  </si>
  <si>
    <t>Blank statuses assumed as Processing</t>
  </si>
  <si>
    <t>UPPERCASE Product Name</t>
  </si>
  <si>
    <t>E (Product)</t>
  </si>
  <si>
    <t>Product names standardised to Title Case</t>
  </si>
  <si>
    <t>TOTAL ISSUES CLEANED</t>
  </si>
  <si>
    <t>15 Types</t>
  </si>
  <si>
    <t>✅ All 15 issues resolved — Data is clean &amp; ready for analysis</t>
  </si>
  <si>
    <t>Total_Sale</t>
  </si>
  <si>
    <t>Net_Sale</t>
  </si>
  <si>
    <t>ORD-3001</t>
  </si>
  <si>
    <t>ORD-3002</t>
  </si>
  <si>
    <t>2024-01-03</t>
  </si>
  <si>
    <t>ORD-3003</t>
  </si>
  <si>
    <t>UPSC Guide</t>
  </si>
  <si>
    <t>ORD-3004</t>
  </si>
  <si>
    <t>ORD-3005</t>
  </si>
  <si>
    <t>2024-05-10</t>
  </si>
  <si>
    <t>ORD-3006</t>
  </si>
  <si>
    <t>2024-02-28</t>
  </si>
  <si>
    <t>ORD-3007</t>
  </si>
  <si>
    <t>2024-06-06</t>
  </si>
  <si>
    <t>ORD-3008</t>
  </si>
  <si>
    <t>2024-01-26</t>
  </si>
  <si>
    <t>ORD-3009</t>
  </si>
  <si>
    <t>ORD-3010</t>
  </si>
  <si>
    <t>2024-02-05</t>
  </si>
  <si>
    <t>ORD-3011</t>
  </si>
  <si>
    <t>2024-04-20</t>
  </si>
  <si>
    <t>Yoga Mat</t>
  </si>
  <si>
    <t>ORD-3012</t>
  </si>
  <si>
    <t>2024-03-25</t>
  </si>
  <si>
    <t>ORD-3013</t>
  </si>
  <si>
    <t>2024-01-28</t>
  </si>
  <si>
    <t>ORD-3014</t>
  </si>
  <si>
    <t>ORD-3015</t>
  </si>
  <si>
    <t>Perfume</t>
  </si>
  <si>
    <t>ORD-3016</t>
  </si>
  <si>
    <t>2024-05-14</t>
  </si>
  <si>
    <t>ORD-3017</t>
  </si>
  <si>
    <t>ORD-3018</t>
  </si>
  <si>
    <t>2024-06-21</t>
  </si>
  <si>
    <t>ORD-3019</t>
  </si>
  <si>
    <t>2024-02-24</t>
  </si>
  <si>
    <t>ORD-3020</t>
  </si>
  <si>
    <t>ORD-3021</t>
  </si>
  <si>
    <t>2024-01-08</t>
  </si>
  <si>
    <t>ORD-3022</t>
  </si>
  <si>
    <t>2024-05-04</t>
  </si>
  <si>
    <t>ORD-3023</t>
  </si>
  <si>
    <t>ORD-3024</t>
  </si>
  <si>
    <t>ORD-3025</t>
  </si>
  <si>
    <t>2024-05-02</t>
  </si>
  <si>
    <t>ORD-3026</t>
  </si>
  <si>
    <t>2024-02-03</t>
  </si>
  <si>
    <t>ORD-3027</t>
  </si>
  <si>
    <t>2024-01-14</t>
  </si>
  <si>
    <t>ORD-3028</t>
  </si>
  <si>
    <t>2024-02-22</t>
  </si>
  <si>
    <t>ORD-3029</t>
  </si>
  <si>
    <t>ORD-3030</t>
  </si>
  <si>
    <t>2024-05-23</t>
  </si>
  <si>
    <t>ORD-3031</t>
  </si>
  <si>
    <t>ORD-3032</t>
  </si>
  <si>
    <t>ORD-3033</t>
  </si>
  <si>
    <t>ORD-3034</t>
  </si>
  <si>
    <t>2024-02-02</t>
  </si>
  <si>
    <t>ORD-3035</t>
  </si>
  <si>
    <t>ORD-3036</t>
  </si>
  <si>
    <t>ORD-3037</t>
  </si>
  <si>
    <t>2024-02-27</t>
  </si>
  <si>
    <t>ORD-3038</t>
  </si>
  <si>
    <t>2024-01-25</t>
  </si>
  <si>
    <t>ORD-3039</t>
  </si>
  <si>
    <t>ORD-3040</t>
  </si>
  <si>
    <t>ORD-3041</t>
  </si>
  <si>
    <t>2024-04-03</t>
  </si>
  <si>
    <t>ORD-3042</t>
  </si>
  <si>
    <t>2024-04-11</t>
  </si>
  <si>
    <t>ORD-3043</t>
  </si>
  <si>
    <t>2024-05-27</t>
  </si>
  <si>
    <t>ORD-3044</t>
  </si>
  <si>
    <t>2024-06-07</t>
  </si>
  <si>
    <t>ORD-3045</t>
  </si>
  <si>
    <t>2024-03-08</t>
  </si>
  <si>
    <t>ORD-3046</t>
  </si>
  <si>
    <t>ORD-3047</t>
  </si>
  <si>
    <t>2024-02-26</t>
  </si>
  <si>
    <t>Saree</t>
  </si>
  <si>
    <t>ORD-3048</t>
  </si>
  <si>
    <t>ORD-3049</t>
  </si>
  <si>
    <t>ORD-3050</t>
  </si>
  <si>
    <t>2024-02-09</t>
  </si>
  <si>
    <t>ORD-3051</t>
  </si>
  <si>
    <t>2024-02-13</t>
  </si>
  <si>
    <t>ORD-3052</t>
  </si>
  <si>
    <t>ORD-3053</t>
  </si>
  <si>
    <t>ORD-3054</t>
  </si>
  <si>
    <t>2024-03-14</t>
  </si>
  <si>
    <t>ORD-3055</t>
  </si>
  <si>
    <t>ORD-3056</t>
  </si>
  <si>
    <t>2024-02-15</t>
  </si>
  <si>
    <t>ORD-3057</t>
  </si>
  <si>
    <t>2024-06-18</t>
  </si>
  <si>
    <t>ORD-3058</t>
  </si>
  <si>
    <t>2024-01-20</t>
  </si>
  <si>
    <t>ORD-3059</t>
  </si>
  <si>
    <t>2024-05-20</t>
  </si>
  <si>
    <t>ORD-3060</t>
  </si>
  <si>
    <t>2024-05-22</t>
  </si>
  <si>
    <t>ORD-3061</t>
  </si>
  <si>
    <t>ORD-3062</t>
  </si>
  <si>
    <t>2024-04-12</t>
  </si>
  <si>
    <t>ORD-3063</t>
  </si>
  <si>
    <t>ORD-3064</t>
  </si>
  <si>
    <t>2024-04-19</t>
  </si>
  <si>
    <t>ORD-3065</t>
  </si>
  <si>
    <t>ORD-3066</t>
  </si>
  <si>
    <t>2024-05-25</t>
  </si>
  <si>
    <t>ORD-3067</t>
  </si>
  <si>
    <t>ORD-3068</t>
  </si>
  <si>
    <t>ORD-3069</t>
  </si>
  <si>
    <t>ORD-3070</t>
  </si>
  <si>
    <t>ORD-3071</t>
  </si>
  <si>
    <t>ORD-3072</t>
  </si>
  <si>
    <t>ORD-3073</t>
  </si>
  <si>
    <t>ORD-3074</t>
  </si>
  <si>
    <t>2024-03-28</t>
  </si>
  <si>
    <t>ORD-3075</t>
  </si>
  <si>
    <t>ORD-3076</t>
  </si>
  <si>
    <t>ORD-3077</t>
  </si>
  <si>
    <t>2024-05-08</t>
  </si>
  <si>
    <t>ORD-3078</t>
  </si>
  <si>
    <t>2024-01-15</t>
  </si>
  <si>
    <t>ORD-3079</t>
  </si>
  <si>
    <t>2024-06-11</t>
  </si>
  <si>
    <t>ORD-3080</t>
  </si>
  <si>
    <t>KPI Metric</t>
  </si>
  <si>
    <t>Value</t>
  </si>
  <si>
    <t>Orders</t>
  </si>
  <si>
    <t>Revenue (₹)</t>
  </si>
  <si>
    <t>% Share</t>
  </si>
  <si>
    <t>Avg Disc</t>
  </si>
  <si>
    <t>Total Orders (After Cleaning)</t>
  </si>
  <si>
    <t>Total Revenue (₹)</t>
  </si>
  <si>
    <t>Average Order Value (₹)</t>
  </si>
  <si>
    <t>Total Units Sold</t>
  </si>
  <si>
    <t>Cancelled Orders</t>
  </si>
  <si>
    <t>Return Rate (%)</t>
  </si>
  <si>
    <t>Delivered Orders</t>
  </si>
  <si>
    <t>Average Discount Given</t>
  </si>
  <si>
    <t>TOTAL</t>
  </si>
  <si>
    <t>Payment Method</t>
  </si>
  <si>
    <t>🔍  ORDER LOOKUP TOOL — Type Order ID in Yellow Cell</t>
  </si>
  <si>
    <t>Enter Order ID:</t>
  </si>
  <si>
    <t>Customer Name</t>
  </si>
  <si>
    <t>Unit Price (₹)</t>
  </si>
  <si>
    <t>Net Sale (₹)</t>
  </si>
  <si>
    <t>Order Status</t>
  </si>
  <si>
    <t>Return Flag</t>
  </si>
  <si>
    <t>Month</t>
  </si>
  <si>
    <t>Avg Order Value</t>
  </si>
  <si>
    <t>MoM Growth (%)</t>
  </si>
  <si>
    <t>January</t>
  </si>
  <si>
    <t>—</t>
  </si>
  <si>
    <t>February</t>
  </si>
  <si>
    <t>March</t>
  </si>
  <si>
    <t>April</t>
  </si>
  <si>
    <t>May</t>
  </si>
  <si>
    <t>June</t>
  </si>
  <si>
    <t>🏆  PRODUCT PERFORMANCE RANKING — Color Scale Applied</t>
  </si>
  <si>
    <t>Avg Price (₹)</t>
  </si>
  <si>
    <t>Performance</t>
  </si>
  <si>
    <t xml:space="preserve">  E-COMMERCE SALES — SUMMARY &amp; KPI TRACKER (Cleaned Data)</t>
  </si>
  <si>
    <t>E-COMMERCE DASHBOARD | Cleaned Data | Jan–Jun 2024</t>
  </si>
  <si>
    <t>E-COMMERCE DASHBOARD | Cleaned Data | Jan–Jun 2025</t>
  </si>
  <si>
    <t xml:space="preserve">  MONTHLY SALES TREND —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</si>
</sst>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21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9"/>
      <color rgb="FFCC0000"/>
      <name val="Arial"/>
      <charset val="1"/>
    </font>
    <font>
      <b/>
      <sz val="13"/>
      <color rgb="FFFFFFFF"/>
      <name val="Arial"/>
      <charset val="1"/>
    </font>
    <font>
      <b/>
      <sz val="9"/>
      <name val="Arial"/>
      <charset val="1"/>
    </font>
    <font>
      <sz val="9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b/>
      <sz val="11"/>
      <color rgb="FF1F3864"/>
      <name val="Arial"/>
      <charset val="1"/>
    </font>
    <font>
      <b/>
      <sz val="11"/>
      <color rgb="FF2E75B6"/>
      <name val="Arial"/>
      <charset val="1"/>
    </font>
    <font>
      <i/>
      <sz val="9"/>
      <color rgb="FF595959"/>
      <name val="Arial"/>
      <charset val="1"/>
    </font>
    <font>
      <b/>
      <sz val="13"/>
      <color rgb="FFFFFFFF"/>
      <name val="Times New Roman"/>
      <family val="1"/>
    </font>
    <font>
      <sz val="11"/>
      <color theme="1"/>
      <name val="Times New Roman"/>
      <family val="1"/>
    </font>
    <font>
      <b/>
      <sz val="10"/>
      <color rgb="FFFFFFFF"/>
      <name val="Times New Roman"/>
      <family val="1"/>
    </font>
    <font>
      <b/>
      <sz val="10"/>
      <color rgb="FF1F3864"/>
      <name val="Times New Roman"/>
      <family val="1"/>
    </font>
    <font>
      <b/>
      <sz val="12"/>
      <color rgb="FFED7D31"/>
      <name val="Times New Roman"/>
      <family val="1"/>
    </font>
    <font>
      <sz val="10"/>
      <name val="Times New Roman"/>
      <family val="1"/>
    </font>
    <font>
      <b/>
      <sz val="14"/>
      <color rgb="FFFFFFFF"/>
      <name val="Times New Roman"/>
      <family val="1"/>
    </font>
    <font>
      <sz val="8"/>
      <name val="Calibri"/>
      <family val="2"/>
      <charset val="1"/>
    </font>
    <font>
      <b/>
      <sz val="13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FFD7D7"/>
        <bgColor rgb="FFD9D9D9"/>
      </patternFill>
    </fill>
    <fill>
      <patternFill patternType="solid">
        <fgColor rgb="FF1F3864"/>
        <bgColor rgb="FF333300"/>
      </patternFill>
    </fill>
    <fill>
      <patternFill patternType="solid">
        <fgColor rgb="FF2E75B6"/>
        <bgColor rgb="FF4672A8"/>
      </patternFill>
    </fill>
    <fill>
      <patternFill patternType="solid">
        <fgColor rgb="FFED7D31"/>
        <bgColor rgb="FFDC853E"/>
      </patternFill>
    </fill>
    <fill>
      <patternFill patternType="solid">
        <fgColor rgb="FF70AD47"/>
        <bgColor rgb="FF8AA64F"/>
      </patternFill>
    </fill>
    <fill>
      <patternFill patternType="solid">
        <fgColor rgb="FFBDD7EE"/>
        <bgColor rgb="FFD9D9D9"/>
      </patternFill>
    </fill>
    <fill>
      <patternFill patternType="solid">
        <fgColor rgb="FFFFD966"/>
        <bgColor rgb="FFFFCC00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1" fillId="7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/>
    </xf>
    <xf numFmtId="9" fontId="2" fillId="3" borderId="1" xfId="0" applyNumberFormat="1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9" fontId="2" fillId="4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10" fontId="2" fillId="3" borderId="1" xfId="0" applyNumberFormat="1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/>
    </xf>
    <xf numFmtId="10" fontId="2" fillId="4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11" borderId="1" xfId="0" applyFont="1" applyFill="1" applyBorder="1" applyAlignment="1">
      <alignment horizontal="center" vertical="center"/>
    </xf>
    <xf numFmtId="0" fontId="11" fillId="0" borderId="0" xfId="0" applyFont="1"/>
    <xf numFmtId="0" fontId="1" fillId="6" borderId="1" xfId="0" applyFont="1" applyFill="1" applyBorder="1" applyAlignment="1">
      <alignment horizontal="center" vertical="center" wrapText="1"/>
    </xf>
    <xf numFmtId="0" fontId="13" fillId="0" borderId="0" xfId="0" applyFont="1"/>
    <xf numFmtId="0" fontId="14" fillId="7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left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164" fontId="17" fillId="3" borderId="1" xfId="0" applyNumberFormat="1" applyFont="1" applyFill="1" applyBorder="1" applyAlignment="1">
      <alignment horizontal="center" vertical="center"/>
    </xf>
    <xf numFmtId="10" fontId="17" fillId="3" borderId="1" xfId="0" applyNumberFormat="1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left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4" fontId="17" fillId="4" borderId="1" xfId="0" applyNumberFormat="1" applyFont="1" applyFill="1" applyBorder="1" applyAlignment="1">
      <alignment horizontal="center" vertical="center"/>
    </xf>
    <xf numFmtId="10" fontId="17" fillId="4" borderId="1" xfId="0" applyNumberFormat="1" applyFont="1" applyFill="1" applyBorder="1" applyAlignment="1">
      <alignment horizontal="center" vertical="center"/>
    </xf>
    <xf numFmtId="164" fontId="16" fillId="3" borderId="1" xfId="0" applyNumberFormat="1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10" fontId="16" fillId="4" borderId="1" xfId="0" applyNumberFormat="1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164" fontId="15" fillId="10" borderId="1" xfId="0" applyNumberFormat="1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2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0AD47"/>
      <rgbColor rgb="FF800080"/>
      <rgbColor rgb="FF4F81BD"/>
      <rgbColor rgb="FFBFBFBF"/>
      <rgbColor rgb="FF878787"/>
      <rgbColor rgb="FF93A9CE"/>
      <rgbColor rgb="FFAB4744"/>
      <rgbColor rgb="FFF9F9F9"/>
      <rgbColor rgb="FFF2F2F2"/>
      <rgbColor rgb="FF660066"/>
      <rgbColor rgb="FFDC853E"/>
      <rgbColor rgb="FF4672A8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D7D7"/>
      <rgbColor rgb="FF99CCFF"/>
      <rgbColor rgb="FFFF99CC"/>
      <rgbColor rgb="FFCC99FF"/>
      <rgbColor rgb="FFFFD966"/>
      <rgbColor rgb="FF2E75B6"/>
      <rgbColor rgb="FF4BACC6"/>
      <rgbColor rgb="FF9BBB59"/>
      <rgbColor rgb="FFFFCC00"/>
      <rgbColor rgb="FFFF9900"/>
      <rgbColor rgb="FFED7D31"/>
      <rgbColor rgb="FF725990"/>
      <rgbColor rgb="FF8AA64F"/>
      <rgbColor rgb="FF1F3864"/>
      <rgbColor rgb="FF4299B0"/>
      <rgbColor rgb="FF003300"/>
      <rgbColor rgb="FF333300"/>
      <rgbColor rgb="FF993300"/>
      <rgbColor rgb="FFC0504D"/>
      <rgbColor rgb="FF8064A2"/>
      <rgbColor rgb="FF595959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Revenue by Category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&amp; KPIs'!$F$3</c:f>
              <c:strCache>
                <c:ptCount val="1"/>
                <c:pt idx="0">
                  <c:v>Revenue (₹)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'Summary &amp; KPIs'!$D$4:$D$10</c:f>
              <c:strCache>
                <c:ptCount val="7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Toys</c:v>
                </c:pt>
              </c:strCache>
            </c:strRef>
          </c:cat>
          <c:val>
            <c:numRef>
              <c:f>'Summary &amp; KPIs'!$F$4:$F$10</c:f>
              <c:numCache>
                <c:formatCode>\₹#,##0.00</c:formatCode>
                <c:ptCount val="7"/>
                <c:pt idx="0">
                  <c:v>150538.22049999997</c:v>
                </c:pt>
                <c:pt idx="1">
                  <c:v>100583.61299999998</c:v>
                </c:pt>
                <c:pt idx="2">
                  <c:v>154897.41200000001</c:v>
                </c:pt>
                <c:pt idx="3">
                  <c:v>366472.91149999999</c:v>
                </c:pt>
                <c:pt idx="4">
                  <c:v>241561.647</c:v>
                </c:pt>
                <c:pt idx="5">
                  <c:v>169204.6795</c:v>
                </c:pt>
                <c:pt idx="6">
                  <c:v>161124.68300000002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63-40C6-A61B-FD5F070E5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91366150"/>
        <c:axId val="49416315"/>
      </c:barChart>
      <c:catAx>
        <c:axId val="91366150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416315"/>
        <c:crosses val="autoZero"/>
        <c:auto val="1"/>
        <c:lblAlgn val="ctr"/>
        <c:lblOffset val="100"/>
        <c:noMultiLvlLbl val="0"/>
      </c:catAx>
      <c:valAx>
        <c:axId val="4941631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661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Orders by Payment Method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&amp; KPIs'!$E$13</c:f>
              <c:strCache>
                <c:ptCount val="1"/>
                <c:pt idx="0">
                  <c:v>Orders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BF-4024-932D-296F5D13C09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BF-4024-932D-296F5D13C09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BF-4024-932D-296F5D13C09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BF-4024-932D-296F5D13C09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BF-4024-932D-296F5D13C09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&amp; KPIs'!$D$14:$D$18</c:f>
              <c:strCache>
                <c:ptCount val="5"/>
                <c:pt idx="0">
                  <c:v>UPI</c:v>
                </c:pt>
                <c:pt idx="1">
                  <c:v>Credit Card</c:v>
                </c:pt>
                <c:pt idx="2">
                  <c:v>Debit Card</c:v>
                </c:pt>
                <c:pt idx="3">
                  <c:v>Net Banking</c:v>
                </c:pt>
                <c:pt idx="4">
                  <c:v>Cash on Delivery</c:v>
                </c:pt>
              </c:strCache>
            </c:strRef>
          </c:cat>
          <c:val>
            <c:numRef>
              <c:f>'Summary &amp; KPIs'!$E$14:$E$18</c:f>
              <c:numCache>
                <c:formatCode>General</c:formatCode>
                <c:ptCount val="5"/>
                <c:pt idx="0">
                  <c:v>14</c:v>
                </c:pt>
                <c:pt idx="1">
                  <c:v>16</c:v>
                </c:pt>
                <c:pt idx="2">
                  <c:v>20</c:v>
                </c:pt>
                <c:pt idx="3">
                  <c:v>12</c:v>
                </c:pt>
                <c:pt idx="4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BF-4024-932D-296F5D13C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Revenue by Region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&amp; KPIs'!$B$13</c:f>
              <c:strCache>
                <c:ptCount val="1"/>
                <c:pt idx="0">
                  <c:v>Revenue (₹)</c:v>
                </c:pt>
              </c:strCache>
            </c:strRef>
          </c:tx>
          <c:spPr>
            <a:gradFill>
              <a:gsLst>
                <a:gs pos="0">
                  <a:schemeClr val="accent1">
                    <a:shade val="51000"/>
                  </a:schemeClr>
                </a:gs>
                <a:gs pos="80000">
                  <a:schemeClr val="accent1">
                    <a:shade val="93000"/>
                  </a:schemeClr>
                </a:gs>
                <a:gs pos="100000">
                  <a:schemeClr val="accent1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'Summary &amp; KPIs'!$A$14:$A$18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'Summary &amp; KPIs'!$B$14:$B$18</c:f>
              <c:numCache>
                <c:formatCode>\₹#,##0.00</c:formatCode>
                <c:ptCount val="5"/>
                <c:pt idx="0">
                  <c:v>279954.77649999998</c:v>
                </c:pt>
                <c:pt idx="1">
                  <c:v>291779.98499999999</c:v>
                </c:pt>
                <c:pt idx="2">
                  <c:v>149232.897</c:v>
                </c:pt>
                <c:pt idx="3">
                  <c:v>236970.89949999997</c:v>
                </c:pt>
                <c:pt idx="4">
                  <c:v>386444.60850000003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6-4824-8C7D-59DEE5AB8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834023"/>
        <c:axId val="97360254"/>
      </c:barChart>
      <c:catAx>
        <c:axId val="1834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360254"/>
        <c:crosses val="autoZero"/>
        <c:auto val="1"/>
        <c:lblAlgn val="ctr"/>
        <c:lblOffset val="100"/>
        <c:noMultiLvlLbl val="0"/>
      </c:catAx>
      <c:valAx>
        <c:axId val="973602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4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>
                <a:latin typeface="Times New Roman" panose="02020603050405020304" pitchFamily="18" charset="0"/>
                <a:cs typeface="Times New Roman" panose="02020603050405020304" pitchFamily="18" charset="0"/>
              </a:rPr>
              <a:t>Category % Revenue Share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'Summary &amp; KPIs'!$G$3</c:f>
              <c:strCache>
                <c:ptCount val="1"/>
                <c:pt idx="0">
                  <c:v>% Share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0">
                    <a:schemeClr val="accent1">
                      <a:shade val="51000"/>
                    </a:schemeClr>
                  </a:gs>
                  <a:gs pos="80000">
                    <a:schemeClr val="accent1">
                      <a:shade val="93000"/>
                    </a:schemeClr>
                  </a:gs>
                  <a:gs pos="100000">
                    <a:schemeClr val="accent1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573-4BBC-9C71-3F4B61F52ECA}"/>
              </c:ext>
            </c:extLst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shade val="51000"/>
                    </a:schemeClr>
                  </a:gs>
                  <a:gs pos="80000">
                    <a:schemeClr val="accent2">
                      <a:shade val="93000"/>
                    </a:schemeClr>
                  </a:gs>
                  <a:gs pos="100000">
                    <a:schemeClr val="accent2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573-4BBC-9C71-3F4B61F52ECA}"/>
              </c:ext>
            </c:extLst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shade val="51000"/>
                    </a:schemeClr>
                  </a:gs>
                  <a:gs pos="80000">
                    <a:schemeClr val="accent3">
                      <a:shade val="93000"/>
                    </a:schemeClr>
                  </a:gs>
                  <a:gs pos="100000">
                    <a:schemeClr val="accent3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573-4BBC-9C71-3F4B61F52ECA}"/>
              </c:ext>
            </c:extLst>
          </c:dPt>
          <c:dPt>
            <c:idx val="3"/>
            <c:bubble3D val="0"/>
            <c:spPr>
              <a:gradFill>
                <a:gsLst>
                  <a:gs pos="0">
                    <a:schemeClr val="accent4">
                      <a:shade val="51000"/>
                    </a:schemeClr>
                  </a:gs>
                  <a:gs pos="80000">
                    <a:schemeClr val="accent4">
                      <a:shade val="93000"/>
                    </a:schemeClr>
                  </a:gs>
                  <a:gs pos="100000">
                    <a:schemeClr val="accent4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E573-4BBC-9C71-3F4B61F52ECA}"/>
              </c:ext>
            </c:extLst>
          </c:dPt>
          <c:dPt>
            <c:idx val="4"/>
            <c:bubble3D val="0"/>
            <c:spPr>
              <a:gradFill>
                <a:gsLst>
                  <a:gs pos="0">
                    <a:schemeClr val="accent5">
                      <a:shade val="51000"/>
                    </a:schemeClr>
                  </a:gs>
                  <a:gs pos="80000">
                    <a:schemeClr val="accent5">
                      <a:shade val="93000"/>
                    </a:schemeClr>
                  </a:gs>
                  <a:gs pos="100000">
                    <a:schemeClr val="accent5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E573-4BBC-9C71-3F4B61F52ECA}"/>
              </c:ext>
            </c:extLst>
          </c:dPt>
          <c:dPt>
            <c:idx val="5"/>
            <c:bubble3D val="0"/>
            <c:spPr>
              <a:gradFill>
                <a:gsLst>
                  <a:gs pos="0">
                    <a:schemeClr val="accent6">
                      <a:shade val="51000"/>
                    </a:schemeClr>
                  </a:gs>
                  <a:gs pos="80000">
                    <a:schemeClr val="accent6">
                      <a:shade val="93000"/>
                    </a:schemeClr>
                  </a:gs>
                  <a:gs pos="100000">
                    <a:schemeClr val="accent6"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E573-4BBC-9C71-3F4B61F52ECA}"/>
              </c:ext>
            </c:extLst>
          </c:dPt>
          <c:dPt>
            <c:idx val="6"/>
            <c:bubble3D val="0"/>
            <c:spPr>
              <a:gradFill>
                <a:gsLst>
                  <a:gs pos="0">
                    <a:schemeClr val="accent1">
                      <a:lumMod val="60000"/>
                      <a:shade val="51000"/>
                    </a:schemeClr>
                  </a:gs>
                  <a:gs pos="80000">
                    <a:schemeClr val="accent1">
                      <a:lumMod val="60000"/>
                      <a:shade val="93000"/>
                    </a:schemeClr>
                  </a:gs>
                  <a:gs pos="100000">
                    <a:schemeClr val="accent1">
                      <a:lumMod val="60000"/>
                      <a:shade val="94000"/>
                    </a:schemeClr>
                  </a:gs>
                </a:gsLst>
                <a:lin ang="16200000" scaled="0"/>
                <a:tileRect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573-4BBC-9C71-3F4B61F52EC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'Summary &amp; KPIs'!$D$4:$D$10</c:f>
              <c:strCache>
                <c:ptCount val="7"/>
                <c:pt idx="0">
                  <c:v>Electronics</c:v>
                </c:pt>
                <c:pt idx="1">
                  <c:v>Clothing</c:v>
                </c:pt>
                <c:pt idx="2">
                  <c:v>Home &amp; Kitchen</c:v>
                </c:pt>
                <c:pt idx="3">
                  <c:v>Sports</c:v>
                </c:pt>
                <c:pt idx="4">
                  <c:v>Books</c:v>
                </c:pt>
                <c:pt idx="5">
                  <c:v>Beauty</c:v>
                </c:pt>
                <c:pt idx="6">
                  <c:v>Toys</c:v>
                </c:pt>
              </c:strCache>
            </c:strRef>
          </c:cat>
          <c:val>
            <c:numRef>
              <c:f>'Summary &amp; KPIs'!$G$4:$G$10</c:f>
              <c:numCache>
                <c:formatCode>0.00%</c:formatCode>
                <c:ptCount val="7"/>
                <c:pt idx="0">
                  <c:v>0.11197568093024764</c:v>
                </c:pt>
                <c:pt idx="1">
                  <c:v>7.4817667690575032E-2</c:v>
                </c:pt>
                <c:pt idx="2">
                  <c:v>0.11521820256293727</c:v>
                </c:pt>
                <c:pt idx="3">
                  <c:v>0.27259558184894905</c:v>
                </c:pt>
                <c:pt idx="4">
                  <c:v>0.17968214198106</c:v>
                </c:pt>
                <c:pt idx="5">
                  <c:v>0.12586045683725097</c:v>
                </c:pt>
                <c:pt idx="6">
                  <c:v>0.11985026814898016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73-4BBC-9C71-3F4B61F52E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Monthly Revenue Trend (₹)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Trend'!$C$3</c:f>
              <c:strCache>
                <c:ptCount val="1"/>
                <c:pt idx="0">
                  <c:v>Revenue (₹)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'Monthly Trend'!$A$4:$A$9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Trend'!$C$4:$C$9</c:f>
              <c:numCache>
                <c:formatCode>\₹#,##0.00</c:formatCode>
                <c:ptCount val="6"/>
                <c:pt idx="0">
                  <c:v>262296.82049999997</c:v>
                </c:pt>
                <c:pt idx="1">
                  <c:v>217848.76550000001</c:v>
                </c:pt>
                <c:pt idx="2">
                  <c:v>171616.05649999998</c:v>
                </c:pt>
                <c:pt idx="3">
                  <c:v>257550.22199999998</c:v>
                </c:pt>
                <c:pt idx="4">
                  <c:v>244122.53949999998</c:v>
                </c:pt>
                <c:pt idx="5">
                  <c:v>190948.76250000001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E9A-4403-9EFC-2C507298D1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hiLowLines>
        <c:smooth val="0"/>
        <c:axId val="63395859"/>
        <c:axId val="39139777"/>
      </c:lineChart>
      <c:catAx>
        <c:axId val="633958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139777"/>
        <c:crosses val="autoZero"/>
        <c:auto val="1"/>
        <c:lblAlgn val="ctr"/>
        <c:lblOffset val="100"/>
        <c:noMultiLvlLbl val="0"/>
      </c:catAx>
      <c:valAx>
        <c:axId val="3913977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\₹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3958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</xdr:colOff>
      <xdr:row>1</xdr:row>
      <xdr:rowOff>15240</xdr:rowOff>
    </xdr:from>
    <xdr:to>
      <xdr:col>12</xdr:col>
      <xdr:colOff>586740</xdr:colOff>
      <xdr:row>24</xdr:row>
      <xdr:rowOff>136140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22860</xdr:colOff>
      <xdr:row>1</xdr:row>
      <xdr:rowOff>60960</xdr:rowOff>
    </xdr:from>
    <xdr:to>
      <xdr:col>24</xdr:col>
      <xdr:colOff>472440</xdr:colOff>
      <xdr:row>24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</xdr:colOff>
      <xdr:row>25</xdr:row>
      <xdr:rowOff>114300</xdr:rowOff>
    </xdr:from>
    <xdr:to>
      <xdr:col>11</xdr:col>
      <xdr:colOff>365760</xdr:colOff>
      <xdr:row>49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586740</xdr:colOff>
      <xdr:row>25</xdr:row>
      <xdr:rowOff>121920</xdr:rowOff>
    </xdr:from>
    <xdr:to>
      <xdr:col>24</xdr:col>
      <xdr:colOff>434340</xdr:colOff>
      <xdr:row>49</xdr:row>
      <xdr:rowOff>83820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7</xdr:col>
      <xdr:colOff>478800</xdr:colOff>
      <xdr:row>33</xdr:row>
      <xdr:rowOff>128880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28BA41D-0308-4BDD-9225-55DDB24385A6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-ZwEcji9G0A8Z6nLSF4im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2"/>
  <sheetViews>
    <sheetView zoomScaleNormal="100" workbookViewId="0">
      <pane ySplit="1" topLeftCell="A71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8" customWidth="1"/>
    <col min="4" max="4" width="16" customWidth="1"/>
    <col min="5" max="5" width="18" customWidth="1"/>
    <col min="6" max="6" width="10" customWidth="1"/>
    <col min="7" max="7" width="14" customWidth="1"/>
    <col min="8" max="8" width="10" customWidth="1"/>
    <col min="9" max="9" width="16" customWidth="1"/>
    <col min="10" max="10" width="12" customWidth="1"/>
    <col min="11" max="11" width="13" customWidth="1"/>
    <col min="12" max="12" width="12" customWidth="1"/>
  </cols>
  <sheetData>
    <row r="1" spans="1:12" ht="27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>
        <v>5</v>
      </c>
      <c r="G2" s="2">
        <v>3888.46</v>
      </c>
      <c r="H2" s="2" t="s">
        <v>17</v>
      </c>
      <c r="I2" s="2" t="s">
        <v>18</v>
      </c>
      <c r="J2" s="2" t="s">
        <v>19</v>
      </c>
      <c r="K2" s="2">
        <v>5</v>
      </c>
      <c r="L2" s="2" t="s">
        <v>20</v>
      </c>
    </row>
    <row r="3" spans="1:12" x14ac:dyDescent="0.3">
      <c r="A3" s="3" t="s">
        <v>21</v>
      </c>
      <c r="B3" s="3" t="s">
        <v>22</v>
      </c>
      <c r="C3" s="3" t="s">
        <v>23</v>
      </c>
      <c r="D3" s="3" t="s">
        <v>24</v>
      </c>
      <c r="E3" s="3" t="s">
        <v>25</v>
      </c>
      <c r="F3" s="3">
        <v>1</v>
      </c>
      <c r="G3" s="3">
        <v>6708.09</v>
      </c>
      <c r="H3" s="3" t="s">
        <v>26</v>
      </c>
      <c r="I3" s="3" t="s">
        <v>27</v>
      </c>
      <c r="J3" s="3" t="s">
        <v>19</v>
      </c>
      <c r="K3" s="3">
        <v>5</v>
      </c>
      <c r="L3" s="3" t="s">
        <v>28</v>
      </c>
    </row>
    <row r="4" spans="1:12" x14ac:dyDescent="0.3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1</v>
      </c>
      <c r="G4" s="2">
        <v>6708.09</v>
      </c>
      <c r="H4" s="2" t="s">
        <v>26</v>
      </c>
      <c r="I4" s="2" t="s">
        <v>27</v>
      </c>
      <c r="J4" s="2" t="s">
        <v>19</v>
      </c>
      <c r="K4" s="2">
        <v>5</v>
      </c>
      <c r="L4" s="2" t="s">
        <v>28</v>
      </c>
    </row>
    <row r="5" spans="1:12" x14ac:dyDescent="0.3">
      <c r="A5" s="3" t="s">
        <v>29</v>
      </c>
      <c r="B5" s="3" t="s">
        <v>13</v>
      </c>
      <c r="C5" s="3" t="s">
        <v>30</v>
      </c>
      <c r="D5" s="3" t="s">
        <v>31</v>
      </c>
      <c r="E5" s="3" t="s">
        <v>32</v>
      </c>
      <c r="F5" s="3">
        <v>9</v>
      </c>
      <c r="G5" s="3">
        <v>3836.86</v>
      </c>
      <c r="H5" s="4"/>
      <c r="I5" s="3" t="s">
        <v>27</v>
      </c>
      <c r="J5" s="3" t="s">
        <v>19</v>
      </c>
      <c r="K5" s="3">
        <v>0</v>
      </c>
      <c r="L5" s="3" t="s">
        <v>20</v>
      </c>
    </row>
    <row r="6" spans="1:12" x14ac:dyDescent="0.3">
      <c r="A6" s="2" t="s">
        <v>33</v>
      </c>
      <c r="B6" s="2" t="s">
        <v>34</v>
      </c>
      <c r="C6" s="4"/>
      <c r="D6" s="2" t="s">
        <v>15</v>
      </c>
      <c r="E6" s="2" t="s">
        <v>35</v>
      </c>
      <c r="F6" s="2">
        <v>9</v>
      </c>
      <c r="G6" s="2">
        <v>748.95</v>
      </c>
      <c r="H6" s="2" t="s">
        <v>36</v>
      </c>
      <c r="I6" s="2" t="s">
        <v>37</v>
      </c>
      <c r="J6" s="2" t="s">
        <v>19</v>
      </c>
      <c r="K6" s="2">
        <v>0</v>
      </c>
      <c r="L6" s="2" t="s">
        <v>20</v>
      </c>
    </row>
    <row r="7" spans="1:12" x14ac:dyDescent="0.3">
      <c r="A7" s="3" t="s">
        <v>38</v>
      </c>
      <c r="B7" s="3" t="s">
        <v>39</v>
      </c>
      <c r="C7" s="3" t="s">
        <v>40</v>
      </c>
      <c r="D7" s="3" t="s">
        <v>24</v>
      </c>
      <c r="E7" s="3" t="s">
        <v>41</v>
      </c>
      <c r="F7" s="4">
        <v>-2</v>
      </c>
      <c r="G7" s="3">
        <v>2284.6</v>
      </c>
      <c r="H7" s="3" t="s">
        <v>17</v>
      </c>
      <c r="I7" s="3" t="s">
        <v>42</v>
      </c>
      <c r="J7" s="3" t="s">
        <v>19</v>
      </c>
      <c r="K7" s="3">
        <v>10</v>
      </c>
      <c r="L7" s="3" t="s">
        <v>20</v>
      </c>
    </row>
    <row r="8" spans="1:12" x14ac:dyDescent="0.3">
      <c r="A8" s="2" t="s">
        <v>43</v>
      </c>
      <c r="B8" s="2" t="s">
        <v>44</v>
      </c>
      <c r="C8" s="2" t="s">
        <v>45</v>
      </c>
      <c r="D8" s="2" t="s">
        <v>46</v>
      </c>
      <c r="E8" s="2" t="s">
        <v>35</v>
      </c>
      <c r="F8" s="2">
        <v>4</v>
      </c>
      <c r="G8" s="2">
        <v>1870.4</v>
      </c>
      <c r="H8" s="2" t="s">
        <v>26</v>
      </c>
      <c r="I8" s="2" t="s">
        <v>47</v>
      </c>
      <c r="J8" s="2" t="s">
        <v>19</v>
      </c>
      <c r="K8" s="2">
        <v>5</v>
      </c>
      <c r="L8" s="2" t="s">
        <v>28</v>
      </c>
    </row>
    <row r="9" spans="1:12" x14ac:dyDescent="0.3">
      <c r="A9" s="3" t="s">
        <v>48</v>
      </c>
      <c r="B9" s="3" t="s">
        <v>49</v>
      </c>
      <c r="C9" s="3" t="s">
        <v>50</v>
      </c>
      <c r="D9" s="3" t="s">
        <v>51</v>
      </c>
      <c r="E9" s="3" t="s">
        <v>52</v>
      </c>
      <c r="F9" s="3">
        <v>7</v>
      </c>
      <c r="G9" s="3">
        <v>1075.5</v>
      </c>
      <c r="H9" s="3" t="s">
        <v>17</v>
      </c>
      <c r="I9" s="3" t="s">
        <v>18</v>
      </c>
      <c r="J9" s="3" t="s">
        <v>19</v>
      </c>
      <c r="K9" s="3">
        <v>15</v>
      </c>
      <c r="L9" s="3" t="s">
        <v>20</v>
      </c>
    </row>
    <row r="10" spans="1:12" x14ac:dyDescent="0.3">
      <c r="A10" s="2" t="s">
        <v>53</v>
      </c>
      <c r="B10" s="2" t="s">
        <v>39</v>
      </c>
      <c r="C10" s="2" t="s">
        <v>54</v>
      </c>
      <c r="D10" s="2" t="s">
        <v>55</v>
      </c>
      <c r="E10" s="2" t="s">
        <v>56</v>
      </c>
      <c r="F10" s="2">
        <v>5</v>
      </c>
      <c r="G10" s="2">
        <v>4319.7299999999996</v>
      </c>
      <c r="H10" s="2" t="s">
        <v>57</v>
      </c>
      <c r="I10" s="2" t="s">
        <v>47</v>
      </c>
      <c r="J10" s="2" t="s">
        <v>58</v>
      </c>
      <c r="K10" s="2">
        <v>10</v>
      </c>
      <c r="L10" s="2" t="s">
        <v>28</v>
      </c>
    </row>
    <row r="11" spans="1:12" x14ac:dyDescent="0.3">
      <c r="A11" s="3" t="s">
        <v>59</v>
      </c>
      <c r="B11" s="3" t="s">
        <v>60</v>
      </c>
      <c r="C11" s="3" t="s">
        <v>61</v>
      </c>
      <c r="D11" s="3" t="s">
        <v>24</v>
      </c>
      <c r="E11" s="3" t="s">
        <v>62</v>
      </c>
      <c r="F11" s="3">
        <v>1</v>
      </c>
      <c r="G11" s="3">
        <v>2033.26</v>
      </c>
      <c r="H11" s="3" t="s">
        <v>26</v>
      </c>
      <c r="I11" s="3" t="s">
        <v>42</v>
      </c>
      <c r="J11" s="3" t="s">
        <v>58</v>
      </c>
      <c r="K11" s="3">
        <v>15</v>
      </c>
      <c r="L11" s="3" t="s">
        <v>28</v>
      </c>
    </row>
    <row r="12" spans="1:12" x14ac:dyDescent="0.3">
      <c r="A12" s="2" t="s">
        <v>63</v>
      </c>
      <c r="B12" s="2" t="s">
        <v>64</v>
      </c>
      <c r="C12" s="2" t="s">
        <v>40</v>
      </c>
      <c r="D12" s="2" t="s">
        <v>65</v>
      </c>
      <c r="E12" s="2" t="s">
        <v>66</v>
      </c>
      <c r="F12" s="2">
        <v>3</v>
      </c>
      <c r="G12" s="2">
        <v>1439.35</v>
      </c>
      <c r="H12" s="2" t="s">
        <v>57</v>
      </c>
      <c r="I12" s="2" t="s">
        <v>42</v>
      </c>
      <c r="J12" s="2" t="s">
        <v>19</v>
      </c>
      <c r="K12" s="4"/>
      <c r="L12" s="2" t="s">
        <v>28</v>
      </c>
    </row>
    <row r="13" spans="1:12" x14ac:dyDescent="0.3">
      <c r="A13" s="3" t="s">
        <v>67</v>
      </c>
      <c r="B13" s="3" t="s">
        <v>68</v>
      </c>
      <c r="C13" s="3" t="s">
        <v>69</v>
      </c>
      <c r="D13" s="3" t="s">
        <v>24</v>
      </c>
      <c r="E13" s="3" t="s">
        <v>41</v>
      </c>
      <c r="F13" s="3">
        <v>5</v>
      </c>
      <c r="G13" s="3">
        <v>4846.38</v>
      </c>
      <c r="H13" s="3" t="s">
        <v>57</v>
      </c>
      <c r="I13" s="4"/>
      <c r="J13" s="3" t="s">
        <v>58</v>
      </c>
      <c r="K13" s="3">
        <v>20</v>
      </c>
      <c r="L13" s="3" t="s">
        <v>28</v>
      </c>
    </row>
    <row r="14" spans="1:12" x14ac:dyDescent="0.3">
      <c r="A14" s="2" t="s">
        <v>70</v>
      </c>
      <c r="B14" s="2" t="s">
        <v>71</v>
      </c>
      <c r="C14" s="2" t="s">
        <v>23</v>
      </c>
      <c r="D14" s="2" t="s">
        <v>72</v>
      </c>
      <c r="E14" s="2" t="s">
        <v>73</v>
      </c>
      <c r="F14" s="2">
        <v>1</v>
      </c>
      <c r="G14" s="2">
        <v>4795.91</v>
      </c>
      <c r="H14" s="2" t="s">
        <v>57</v>
      </c>
      <c r="I14" s="2" t="s">
        <v>42</v>
      </c>
      <c r="J14" s="2" t="s">
        <v>74</v>
      </c>
      <c r="K14" s="2">
        <v>0</v>
      </c>
      <c r="L14" s="2" t="s">
        <v>20</v>
      </c>
    </row>
    <row r="15" spans="1:12" x14ac:dyDescent="0.3">
      <c r="A15" s="3" t="s">
        <v>75</v>
      </c>
      <c r="B15" s="3" t="s">
        <v>76</v>
      </c>
      <c r="C15" s="3" t="s">
        <v>30</v>
      </c>
      <c r="D15" s="3" t="s">
        <v>65</v>
      </c>
      <c r="E15" s="3" t="s">
        <v>77</v>
      </c>
      <c r="F15" s="3">
        <v>2</v>
      </c>
      <c r="G15" s="3">
        <v>6265.56</v>
      </c>
      <c r="H15" s="3" t="s">
        <v>36</v>
      </c>
      <c r="I15" s="3" t="s">
        <v>42</v>
      </c>
      <c r="J15" s="3" t="s">
        <v>78</v>
      </c>
      <c r="K15" s="3">
        <v>15</v>
      </c>
      <c r="L15" s="4"/>
    </row>
    <row r="16" spans="1:12" x14ac:dyDescent="0.3">
      <c r="A16" s="2" t="s">
        <v>79</v>
      </c>
      <c r="B16" s="2" t="s">
        <v>80</v>
      </c>
      <c r="C16" s="2" t="s">
        <v>40</v>
      </c>
      <c r="D16" s="2" t="s">
        <v>81</v>
      </c>
      <c r="E16" s="2" t="s">
        <v>82</v>
      </c>
      <c r="F16" s="2">
        <v>4</v>
      </c>
      <c r="G16" s="4">
        <v>0</v>
      </c>
      <c r="H16" s="2" t="s">
        <v>26</v>
      </c>
      <c r="I16" s="2" t="s">
        <v>37</v>
      </c>
      <c r="J16" s="2" t="s">
        <v>58</v>
      </c>
      <c r="K16" s="2">
        <v>10</v>
      </c>
      <c r="L16" s="2" t="s">
        <v>20</v>
      </c>
    </row>
    <row r="17" spans="1:12" x14ac:dyDescent="0.3">
      <c r="A17" s="3" t="s">
        <v>83</v>
      </c>
      <c r="B17" s="3" t="s">
        <v>84</v>
      </c>
      <c r="C17" s="3" t="s">
        <v>14</v>
      </c>
      <c r="D17" s="3" t="s">
        <v>15</v>
      </c>
      <c r="E17" s="3" t="s">
        <v>85</v>
      </c>
      <c r="F17" s="3">
        <v>6</v>
      </c>
      <c r="G17" s="3">
        <v>6075.61</v>
      </c>
      <c r="H17" s="3" t="s">
        <v>26</v>
      </c>
      <c r="I17" s="3" t="s">
        <v>18</v>
      </c>
      <c r="J17" s="4"/>
      <c r="K17" s="3">
        <v>15</v>
      </c>
      <c r="L17" s="3" t="s">
        <v>28</v>
      </c>
    </row>
    <row r="18" spans="1:12" x14ac:dyDescent="0.3">
      <c r="A18" s="2" t="s">
        <v>86</v>
      </c>
      <c r="B18" s="2" t="s">
        <v>87</v>
      </c>
      <c r="C18" s="2" t="s">
        <v>88</v>
      </c>
      <c r="D18" s="2" t="s">
        <v>15</v>
      </c>
      <c r="E18" s="2" t="s">
        <v>89</v>
      </c>
      <c r="F18" s="2">
        <v>5</v>
      </c>
      <c r="G18" s="2">
        <v>7410.48</v>
      </c>
      <c r="H18" s="2" t="s">
        <v>90</v>
      </c>
      <c r="I18" s="2" t="s">
        <v>42</v>
      </c>
      <c r="J18" s="2" t="s">
        <v>91</v>
      </c>
      <c r="K18" s="2">
        <v>5</v>
      </c>
      <c r="L18" s="2" t="s">
        <v>28</v>
      </c>
    </row>
    <row r="19" spans="1:12" x14ac:dyDescent="0.3">
      <c r="A19" s="3" t="s">
        <v>92</v>
      </c>
      <c r="B19" s="3" t="s">
        <v>93</v>
      </c>
      <c r="C19" s="3" t="s">
        <v>14</v>
      </c>
      <c r="D19" s="4"/>
      <c r="E19" s="3" t="s">
        <v>94</v>
      </c>
      <c r="F19" s="3">
        <v>10</v>
      </c>
      <c r="G19" s="3">
        <v>4554.08</v>
      </c>
      <c r="H19" s="3" t="s">
        <v>17</v>
      </c>
      <c r="I19" s="3" t="s">
        <v>42</v>
      </c>
      <c r="J19" s="3" t="s">
        <v>58</v>
      </c>
      <c r="K19" s="3">
        <v>20</v>
      </c>
      <c r="L19" s="3" t="s">
        <v>20</v>
      </c>
    </row>
    <row r="20" spans="1:12" x14ac:dyDescent="0.3">
      <c r="A20" s="2" t="s">
        <v>95</v>
      </c>
      <c r="B20" s="2" t="s">
        <v>96</v>
      </c>
      <c r="C20" s="2" t="s">
        <v>97</v>
      </c>
      <c r="D20" s="2" t="s">
        <v>15</v>
      </c>
      <c r="E20" s="2" t="s">
        <v>98</v>
      </c>
      <c r="F20" s="2">
        <v>5</v>
      </c>
      <c r="G20" s="2">
        <v>6385.6</v>
      </c>
      <c r="H20" s="2" t="s">
        <v>90</v>
      </c>
      <c r="I20" s="2" t="s">
        <v>42</v>
      </c>
      <c r="J20" s="2" t="s">
        <v>19</v>
      </c>
      <c r="K20" s="2">
        <v>20</v>
      </c>
      <c r="L20" s="2" t="s">
        <v>28</v>
      </c>
    </row>
    <row r="21" spans="1:12" x14ac:dyDescent="0.3">
      <c r="A21" s="3" t="s">
        <v>99</v>
      </c>
      <c r="B21" s="3" t="s">
        <v>100</v>
      </c>
      <c r="C21" s="3" t="s">
        <v>69</v>
      </c>
      <c r="D21" s="3" t="s">
        <v>65</v>
      </c>
      <c r="E21" s="3" t="s">
        <v>101</v>
      </c>
      <c r="F21" s="3">
        <v>1</v>
      </c>
      <c r="G21" s="3">
        <v>520.19000000000005</v>
      </c>
      <c r="H21" s="3" t="s">
        <v>36</v>
      </c>
      <c r="I21" s="3" t="s">
        <v>47</v>
      </c>
      <c r="J21" s="3" t="s">
        <v>19</v>
      </c>
      <c r="K21" s="3">
        <v>15</v>
      </c>
      <c r="L21" s="3" t="s">
        <v>20</v>
      </c>
    </row>
    <row r="22" spans="1:12" x14ac:dyDescent="0.3">
      <c r="A22" s="2" t="s">
        <v>99</v>
      </c>
      <c r="B22" s="2" t="s">
        <v>100</v>
      </c>
      <c r="C22" s="2" t="s">
        <v>69</v>
      </c>
      <c r="D22" s="2" t="s">
        <v>65</v>
      </c>
      <c r="E22" s="2" t="s">
        <v>101</v>
      </c>
      <c r="F22" s="2">
        <v>1</v>
      </c>
      <c r="G22" s="2">
        <v>520.19000000000005</v>
      </c>
      <c r="H22" s="2" t="s">
        <v>36</v>
      </c>
      <c r="I22" s="2" t="s">
        <v>47</v>
      </c>
      <c r="J22" s="2" t="s">
        <v>19</v>
      </c>
      <c r="K22" s="2">
        <v>15</v>
      </c>
      <c r="L22" s="2" t="s">
        <v>20</v>
      </c>
    </row>
    <row r="23" spans="1:12" x14ac:dyDescent="0.3">
      <c r="A23" s="3" t="s">
        <v>102</v>
      </c>
      <c r="B23" s="3" t="s">
        <v>103</v>
      </c>
      <c r="C23" s="3" t="s">
        <v>40</v>
      </c>
      <c r="D23" s="3" t="s">
        <v>81</v>
      </c>
      <c r="E23" s="3" t="s">
        <v>104</v>
      </c>
      <c r="F23" s="3">
        <v>1</v>
      </c>
      <c r="G23" s="3">
        <v>7378.87</v>
      </c>
      <c r="H23" s="4"/>
      <c r="I23" s="3" t="s">
        <v>18</v>
      </c>
      <c r="J23" s="3" t="s">
        <v>19</v>
      </c>
      <c r="K23" s="3">
        <v>10</v>
      </c>
      <c r="L23" s="3" t="s">
        <v>20</v>
      </c>
    </row>
    <row r="24" spans="1:12" x14ac:dyDescent="0.3">
      <c r="A24" s="2" t="s">
        <v>105</v>
      </c>
      <c r="B24" s="2" t="s">
        <v>106</v>
      </c>
      <c r="C24" s="4"/>
      <c r="D24" s="2" t="s">
        <v>24</v>
      </c>
      <c r="E24" s="2" t="s">
        <v>107</v>
      </c>
      <c r="F24" s="2">
        <v>9</v>
      </c>
      <c r="G24" s="2">
        <v>5760.9</v>
      </c>
      <c r="H24" s="2" t="s">
        <v>36</v>
      </c>
      <c r="I24" s="2" t="s">
        <v>47</v>
      </c>
      <c r="J24" s="2" t="s">
        <v>19</v>
      </c>
      <c r="K24" s="2">
        <v>5</v>
      </c>
      <c r="L24" s="2" t="s">
        <v>20</v>
      </c>
    </row>
    <row r="25" spans="1:12" x14ac:dyDescent="0.3">
      <c r="A25" s="3" t="s">
        <v>108</v>
      </c>
      <c r="B25" s="3" t="s">
        <v>109</v>
      </c>
      <c r="C25" s="3" t="s">
        <v>45</v>
      </c>
      <c r="D25" s="3" t="s">
        <v>72</v>
      </c>
      <c r="E25" s="3" t="s">
        <v>110</v>
      </c>
      <c r="F25" s="4">
        <v>-10</v>
      </c>
      <c r="G25" s="3">
        <v>3185.22</v>
      </c>
      <c r="H25" s="3" t="s">
        <v>17</v>
      </c>
      <c r="I25" s="3" t="s">
        <v>27</v>
      </c>
      <c r="J25" s="3" t="s">
        <v>19</v>
      </c>
      <c r="K25" s="3">
        <v>15</v>
      </c>
      <c r="L25" s="3" t="s">
        <v>20</v>
      </c>
    </row>
    <row r="26" spans="1:12" x14ac:dyDescent="0.3">
      <c r="A26" s="2" t="s">
        <v>111</v>
      </c>
      <c r="B26" s="2" t="s">
        <v>112</v>
      </c>
      <c r="C26" s="2" t="s">
        <v>113</v>
      </c>
      <c r="D26" s="2" t="s">
        <v>114</v>
      </c>
      <c r="E26" s="2" t="s">
        <v>32</v>
      </c>
      <c r="F26" s="2">
        <v>6</v>
      </c>
      <c r="G26" s="2">
        <v>7724.34</v>
      </c>
      <c r="H26" s="2" t="s">
        <v>26</v>
      </c>
      <c r="I26" s="2" t="s">
        <v>27</v>
      </c>
      <c r="J26" s="2" t="s">
        <v>91</v>
      </c>
      <c r="K26" s="2">
        <v>20</v>
      </c>
      <c r="L26" s="2" t="s">
        <v>28</v>
      </c>
    </row>
    <row r="27" spans="1:12" x14ac:dyDescent="0.3">
      <c r="A27" s="3" t="s">
        <v>115</v>
      </c>
      <c r="B27" s="3" t="s">
        <v>93</v>
      </c>
      <c r="C27" s="3" t="s">
        <v>113</v>
      </c>
      <c r="D27" s="3" t="s">
        <v>116</v>
      </c>
      <c r="E27" s="3" t="s">
        <v>25</v>
      </c>
      <c r="F27" s="3">
        <v>4</v>
      </c>
      <c r="G27" s="3">
        <v>7517.99</v>
      </c>
      <c r="H27" s="3" t="s">
        <v>90</v>
      </c>
      <c r="I27" s="3" t="s">
        <v>27</v>
      </c>
      <c r="J27" s="3" t="s">
        <v>58</v>
      </c>
      <c r="K27" s="3">
        <v>10</v>
      </c>
      <c r="L27" s="3" t="s">
        <v>28</v>
      </c>
    </row>
    <row r="28" spans="1:12" x14ac:dyDescent="0.3">
      <c r="A28" s="2" t="s">
        <v>117</v>
      </c>
      <c r="B28" s="2" t="s">
        <v>118</v>
      </c>
      <c r="C28" s="2" t="s">
        <v>54</v>
      </c>
      <c r="D28" s="2" t="s">
        <v>72</v>
      </c>
      <c r="E28" s="2" t="s">
        <v>110</v>
      </c>
      <c r="F28" s="2">
        <v>10</v>
      </c>
      <c r="G28" s="2">
        <v>5501.84</v>
      </c>
      <c r="H28" s="2" t="s">
        <v>90</v>
      </c>
      <c r="I28" s="2" t="s">
        <v>37</v>
      </c>
      <c r="J28" s="2" t="s">
        <v>19</v>
      </c>
      <c r="K28" s="2">
        <v>5</v>
      </c>
      <c r="L28" s="2" t="s">
        <v>20</v>
      </c>
    </row>
    <row r="29" spans="1:12" x14ac:dyDescent="0.3">
      <c r="A29" s="3" t="s">
        <v>119</v>
      </c>
      <c r="B29" s="3" t="s">
        <v>120</v>
      </c>
      <c r="C29" s="3" t="s">
        <v>30</v>
      </c>
      <c r="D29" s="3" t="s">
        <v>72</v>
      </c>
      <c r="E29" s="3" t="s">
        <v>121</v>
      </c>
      <c r="F29" s="3">
        <v>7</v>
      </c>
      <c r="G29" s="3">
        <v>5576.36</v>
      </c>
      <c r="H29" s="3" t="s">
        <v>57</v>
      </c>
      <c r="I29" s="3" t="s">
        <v>47</v>
      </c>
      <c r="J29" s="3" t="s">
        <v>19</v>
      </c>
      <c r="K29" s="3">
        <v>20</v>
      </c>
      <c r="L29" s="3" t="s">
        <v>20</v>
      </c>
    </row>
    <row r="30" spans="1:12" x14ac:dyDescent="0.3">
      <c r="A30" s="2" t="s">
        <v>122</v>
      </c>
      <c r="B30" s="2" t="s">
        <v>123</v>
      </c>
      <c r="C30" s="2" t="s">
        <v>124</v>
      </c>
      <c r="D30" s="2" t="s">
        <v>81</v>
      </c>
      <c r="E30" s="2" t="s">
        <v>82</v>
      </c>
      <c r="F30" s="2">
        <v>9</v>
      </c>
      <c r="G30" s="2">
        <v>3522.31</v>
      </c>
      <c r="H30" s="2" t="s">
        <v>90</v>
      </c>
      <c r="I30" s="2" t="s">
        <v>42</v>
      </c>
      <c r="J30" s="2" t="s">
        <v>78</v>
      </c>
      <c r="K30" s="4"/>
      <c r="L30" s="2" t="s">
        <v>20</v>
      </c>
    </row>
    <row r="31" spans="1:12" x14ac:dyDescent="0.3">
      <c r="A31" s="3" t="s">
        <v>125</v>
      </c>
      <c r="B31" s="3" t="s">
        <v>126</v>
      </c>
      <c r="C31" s="3" t="s">
        <v>127</v>
      </c>
      <c r="D31" s="3" t="s">
        <v>72</v>
      </c>
      <c r="E31" s="3" t="s">
        <v>121</v>
      </c>
      <c r="F31" s="3">
        <v>1</v>
      </c>
      <c r="G31" s="3">
        <v>4674.6000000000004</v>
      </c>
      <c r="H31" s="3" t="s">
        <v>26</v>
      </c>
      <c r="I31" s="4"/>
      <c r="J31" s="3" t="s">
        <v>78</v>
      </c>
      <c r="K31" s="3">
        <v>10</v>
      </c>
      <c r="L31" s="3" t="s">
        <v>20</v>
      </c>
    </row>
    <row r="32" spans="1:12" x14ac:dyDescent="0.3">
      <c r="A32" s="2" t="s">
        <v>128</v>
      </c>
      <c r="B32" s="2" t="s">
        <v>129</v>
      </c>
      <c r="C32" s="2" t="s">
        <v>130</v>
      </c>
      <c r="D32" s="2" t="s">
        <v>24</v>
      </c>
      <c r="E32" s="2" t="s">
        <v>107</v>
      </c>
      <c r="F32" s="2">
        <v>3</v>
      </c>
      <c r="G32" s="2">
        <v>1449.2</v>
      </c>
      <c r="H32" s="2" t="s">
        <v>26</v>
      </c>
      <c r="I32" s="2" t="s">
        <v>18</v>
      </c>
      <c r="J32" s="2" t="s">
        <v>131</v>
      </c>
      <c r="K32" s="2">
        <v>10</v>
      </c>
      <c r="L32" s="2" t="s">
        <v>20</v>
      </c>
    </row>
    <row r="33" spans="1:12" x14ac:dyDescent="0.3">
      <c r="A33" s="3" t="s">
        <v>132</v>
      </c>
      <c r="B33" s="3" t="s">
        <v>76</v>
      </c>
      <c r="C33" s="3" t="s">
        <v>40</v>
      </c>
      <c r="D33" s="3" t="s">
        <v>72</v>
      </c>
      <c r="E33" s="3" t="s">
        <v>73</v>
      </c>
      <c r="F33" s="3">
        <v>3</v>
      </c>
      <c r="G33" s="3">
        <v>2733.93</v>
      </c>
      <c r="H33" s="3" t="s">
        <v>57</v>
      </c>
      <c r="I33" s="3" t="s">
        <v>47</v>
      </c>
      <c r="J33" s="3" t="s">
        <v>19</v>
      </c>
      <c r="K33" s="3">
        <v>20</v>
      </c>
      <c r="L33" s="4"/>
    </row>
    <row r="34" spans="1:12" x14ac:dyDescent="0.3">
      <c r="A34" s="2" t="s">
        <v>133</v>
      </c>
      <c r="B34" s="2" t="s">
        <v>134</v>
      </c>
      <c r="C34" s="2" t="s">
        <v>97</v>
      </c>
      <c r="D34" s="2" t="s">
        <v>24</v>
      </c>
      <c r="E34" s="2" t="s">
        <v>41</v>
      </c>
      <c r="F34" s="2">
        <v>1</v>
      </c>
      <c r="G34" s="4">
        <v>0</v>
      </c>
      <c r="H34" s="2" t="s">
        <v>26</v>
      </c>
      <c r="I34" s="2" t="s">
        <v>42</v>
      </c>
      <c r="J34" s="2" t="s">
        <v>19</v>
      </c>
      <c r="K34" s="2">
        <v>20</v>
      </c>
      <c r="L34" s="2" t="s">
        <v>28</v>
      </c>
    </row>
    <row r="35" spans="1:12" x14ac:dyDescent="0.3">
      <c r="A35" s="3" t="s">
        <v>135</v>
      </c>
      <c r="B35" s="3" t="s">
        <v>136</v>
      </c>
      <c r="C35" s="3" t="s">
        <v>137</v>
      </c>
      <c r="D35" s="3" t="s">
        <v>65</v>
      </c>
      <c r="E35" s="3" t="s">
        <v>138</v>
      </c>
      <c r="F35" s="3">
        <v>8</v>
      </c>
      <c r="G35" s="3">
        <v>2331.29</v>
      </c>
      <c r="H35" s="3" t="s">
        <v>17</v>
      </c>
      <c r="I35" s="3" t="s">
        <v>42</v>
      </c>
      <c r="J35" s="4"/>
      <c r="K35" s="3">
        <v>5</v>
      </c>
      <c r="L35" s="3" t="s">
        <v>20</v>
      </c>
    </row>
    <row r="36" spans="1:12" x14ac:dyDescent="0.3">
      <c r="A36" s="2" t="s">
        <v>139</v>
      </c>
      <c r="B36" s="2" t="s">
        <v>140</v>
      </c>
      <c r="C36" s="2" t="s">
        <v>97</v>
      </c>
      <c r="D36" s="2" t="s">
        <v>24</v>
      </c>
      <c r="E36" s="2" t="s">
        <v>141</v>
      </c>
      <c r="F36" s="2">
        <v>10</v>
      </c>
      <c r="G36" s="2">
        <v>7626.19</v>
      </c>
      <c r="H36" s="2" t="s">
        <v>36</v>
      </c>
      <c r="I36" s="2" t="s">
        <v>27</v>
      </c>
      <c r="J36" s="2" t="s">
        <v>78</v>
      </c>
      <c r="K36" s="2">
        <v>20</v>
      </c>
      <c r="L36" s="2" t="s">
        <v>20</v>
      </c>
    </row>
    <row r="37" spans="1:12" x14ac:dyDescent="0.3">
      <c r="A37" s="3" t="s">
        <v>142</v>
      </c>
      <c r="B37" s="3" t="s">
        <v>143</v>
      </c>
      <c r="C37" s="3" t="s">
        <v>30</v>
      </c>
      <c r="D37" s="4"/>
      <c r="E37" s="3" t="s">
        <v>121</v>
      </c>
      <c r="F37" s="3">
        <v>2</v>
      </c>
      <c r="G37" s="3">
        <v>4247.37</v>
      </c>
      <c r="H37" s="3" t="s">
        <v>90</v>
      </c>
      <c r="I37" s="3" t="s">
        <v>47</v>
      </c>
      <c r="J37" s="3" t="s">
        <v>19</v>
      </c>
      <c r="K37" s="3">
        <v>15</v>
      </c>
      <c r="L37" s="3" t="s">
        <v>20</v>
      </c>
    </row>
    <row r="38" spans="1:12" x14ac:dyDescent="0.3">
      <c r="A38" s="2" t="s">
        <v>144</v>
      </c>
      <c r="B38" s="2" t="s">
        <v>145</v>
      </c>
      <c r="C38" s="2" t="s">
        <v>124</v>
      </c>
      <c r="D38" s="2" t="s">
        <v>65</v>
      </c>
      <c r="E38" s="2" t="s">
        <v>138</v>
      </c>
      <c r="F38" s="2">
        <v>10</v>
      </c>
      <c r="G38" s="2">
        <v>3777.82</v>
      </c>
      <c r="H38" s="2" t="s">
        <v>90</v>
      </c>
      <c r="I38" s="2" t="s">
        <v>27</v>
      </c>
      <c r="J38" s="2" t="s">
        <v>19</v>
      </c>
      <c r="K38" s="2">
        <v>0</v>
      </c>
      <c r="L38" s="2" t="s">
        <v>28</v>
      </c>
    </row>
    <row r="39" spans="1:12" x14ac:dyDescent="0.3">
      <c r="A39" s="3" t="s">
        <v>146</v>
      </c>
      <c r="B39" s="3" t="s">
        <v>93</v>
      </c>
      <c r="C39" s="3" t="s">
        <v>137</v>
      </c>
      <c r="D39" s="3" t="s">
        <v>31</v>
      </c>
      <c r="E39" s="3" t="s">
        <v>32</v>
      </c>
      <c r="F39" s="3">
        <v>6</v>
      </c>
      <c r="G39" s="3">
        <v>7535.44</v>
      </c>
      <c r="H39" s="3" t="s">
        <v>90</v>
      </c>
      <c r="I39" s="3" t="s">
        <v>37</v>
      </c>
      <c r="J39" s="3" t="s">
        <v>58</v>
      </c>
      <c r="K39" s="3">
        <v>5</v>
      </c>
      <c r="L39" s="3" t="s">
        <v>20</v>
      </c>
    </row>
    <row r="40" spans="1:12" x14ac:dyDescent="0.3">
      <c r="A40" s="2" t="s">
        <v>146</v>
      </c>
      <c r="B40" s="2" t="s">
        <v>93</v>
      </c>
      <c r="C40" s="2" t="s">
        <v>137</v>
      </c>
      <c r="D40" s="2" t="s">
        <v>31</v>
      </c>
      <c r="E40" s="2" t="s">
        <v>32</v>
      </c>
      <c r="F40" s="2">
        <v>6</v>
      </c>
      <c r="G40" s="2">
        <v>7535.44</v>
      </c>
      <c r="H40" s="2" t="s">
        <v>90</v>
      </c>
      <c r="I40" s="2" t="s">
        <v>37</v>
      </c>
      <c r="J40" s="2" t="s">
        <v>58</v>
      </c>
      <c r="K40" s="2">
        <v>5</v>
      </c>
      <c r="L40" s="2" t="s">
        <v>20</v>
      </c>
    </row>
    <row r="41" spans="1:12" x14ac:dyDescent="0.3">
      <c r="A41" s="3" t="s">
        <v>147</v>
      </c>
      <c r="B41" s="3" t="s">
        <v>148</v>
      </c>
      <c r="C41" s="3" t="s">
        <v>45</v>
      </c>
      <c r="D41" s="3" t="s">
        <v>65</v>
      </c>
      <c r="E41" s="3" t="s">
        <v>66</v>
      </c>
      <c r="F41" s="3">
        <v>7</v>
      </c>
      <c r="G41" s="3">
        <v>6918.68</v>
      </c>
      <c r="H41" s="4"/>
      <c r="I41" s="3" t="s">
        <v>47</v>
      </c>
      <c r="J41" s="3" t="s">
        <v>19</v>
      </c>
      <c r="K41" s="3">
        <v>5</v>
      </c>
      <c r="L41" s="3" t="s">
        <v>28</v>
      </c>
    </row>
    <row r="42" spans="1:12" x14ac:dyDescent="0.3">
      <c r="A42" s="2" t="s">
        <v>149</v>
      </c>
      <c r="B42" s="2" t="s">
        <v>150</v>
      </c>
      <c r="C42" s="4"/>
      <c r="D42" s="2" t="s">
        <v>55</v>
      </c>
      <c r="E42" s="2" t="s">
        <v>151</v>
      </c>
      <c r="F42" s="2">
        <v>6</v>
      </c>
      <c r="G42" s="2">
        <v>3986.48</v>
      </c>
      <c r="H42" s="2" t="s">
        <v>17</v>
      </c>
      <c r="I42" s="2" t="s">
        <v>47</v>
      </c>
      <c r="J42" s="2" t="s">
        <v>19</v>
      </c>
      <c r="K42" s="2">
        <v>5</v>
      </c>
      <c r="L42" s="2" t="s">
        <v>28</v>
      </c>
    </row>
    <row r="43" spans="1:12" x14ac:dyDescent="0.3">
      <c r="A43" s="3" t="s">
        <v>152</v>
      </c>
      <c r="B43" s="3" t="s">
        <v>153</v>
      </c>
      <c r="C43" s="3" t="s">
        <v>23</v>
      </c>
      <c r="D43" s="3" t="s">
        <v>81</v>
      </c>
      <c r="E43" s="3" t="s">
        <v>154</v>
      </c>
      <c r="F43" s="4">
        <v>-1</v>
      </c>
      <c r="G43" s="3">
        <v>1484.63</v>
      </c>
      <c r="H43" s="3" t="s">
        <v>90</v>
      </c>
      <c r="I43" s="3" t="s">
        <v>47</v>
      </c>
      <c r="J43" s="3" t="s">
        <v>19</v>
      </c>
      <c r="K43" s="3">
        <v>10</v>
      </c>
      <c r="L43" s="3" t="s">
        <v>28</v>
      </c>
    </row>
    <row r="44" spans="1:12" x14ac:dyDescent="0.3">
      <c r="A44" s="2" t="s">
        <v>155</v>
      </c>
      <c r="B44" s="2" t="s">
        <v>156</v>
      </c>
      <c r="C44" s="2" t="s">
        <v>88</v>
      </c>
      <c r="D44" s="2" t="s">
        <v>157</v>
      </c>
      <c r="E44" s="2" t="s">
        <v>41</v>
      </c>
      <c r="F44" s="2">
        <v>2</v>
      </c>
      <c r="G44" s="2">
        <v>4941.6000000000004</v>
      </c>
      <c r="H44" s="2" t="s">
        <v>26</v>
      </c>
      <c r="I44" s="2" t="s">
        <v>42</v>
      </c>
      <c r="J44" s="2" t="s">
        <v>19</v>
      </c>
      <c r="K44" s="2">
        <v>5</v>
      </c>
      <c r="L44" s="2" t="s">
        <v>20</v>
      </c>
    </row>
    <row r="45" spans="1:12" x14ac:dyDescent="0.3">
      <c r="A45" s="3" t="s">
        <v>158</v>
      </c>
      <c r="B45" s="3" t="s">
        <v>159</v>
      </c>
      <c r="C45" s="3" t="s">
        <v>88</v>
      </c>
      <c r="D45" s="3" t="s">
        <v>160</v>
      </c>
      <c r="E45" s="3" t="s">
        <v>161</v>
      </c>
      <c r="F45" s="3">
        <v>5</v>
      </c>
      <c r="G45" s="3">
        <v>6080.74</v>
      </c>
      <c r="H45" s="3" t="s">
        <v>57</v>
      </c>
      <c r="I45" s="3" t="s">
        <v>37</v>
      </c>
      <c r="J45" s="3" t="s">
        <v>58</v>
      </c>
      <c r="K45" s="3">
        <v>20</v>
      </c>
      <c r="L45" s="3" t="s">
        <v>20</v>
      </c>
    </row>
    <row r="46" spans="1:12" x14ac:dyDescent="0.3">
      <c r="A46" s="2" t="s">
        <v>162</v>
      </c>
      <c r="B46" s="2" t="s">
        <v>150</v>
      </c>
      <c r="C46" s="2" t="s">
        <v>163</v>
      </c>
      <c r="D46" s="2" t="s">
        <v>65</v>
      </c>
      <c r="E46" s="2" t="s">
        <v>138</v>
      </c>
      <c r="F46" s="2">
        <v>5</v>
      </c>
      <c r="G46" s="2">
        <v>5835.16</v>
      </c>
      <c r="H46" s="2" t="s">
        <v>36</v>
      </c>
      <c r="I46" s="2" t="s">
        <v>42</v>
      </c>
      <c r="J46" s="2" t="s">
        <v>19</v>
      </c>
      <c r="K46" s="2">
        <v>20</v>
      </c>
      <c r="L46" s="2" t="s">
        <v>28</v>
      </c>
    </row>
    <row r="47" spans="1:12" x14ac:dyDescent="0.3">
      <c r="A47" s="3" t="s">
        <v>164</v>
      </c>
      <c r="B47" s="3" t="s">
        <v>165</v>
      </c>
      <c r="C47" s="3" t="s">
        <v>127</v>
      </c>
      <c r="D47" s="3" t="s">
        <v>15</v>
      </c>
      <c r="E47" s="3" t="s">
        <v>16</v>
      </c>
      <c r="F47" s="3">
        <v>1</v>
      </c>
      <c r="G47" s="3">
        <v>6361.11</v>
      </c>
      <c r="H47" s="3" t="s">
        <v>26</v>
      </c>
      <c r="I47" s="3" t="s">
        <v>47</v>
      </c>
      <c r="J47" s="3" t="s">
        <v>58</v>
      </c>
      <c r="K47" s="3">
        <v>5</v>
      </c>
      <c r="L47" s="3" t="s">
        <v>28</v>
      </c>
    </row>
    <row r="48" spans="1:12" x14ac:dyDescent="0.3">
      <c r="A48" s="2" t="s">
        <v>166</v>
      </c>
      <c r="B48" s="2" t="s">
        <v>167</v>
      </c>
      <c r="C48" s="2" t="s">
        <v>23</v>
      </c>
      <c r="D48" s="2" t="s">
        <v>31</v>
      </c>
      <c r="E48" s="2" t="s">
        <v>32</v>
      </c>
      <c r="F48" s="2">
        <v>5</v>
      </c>
      <c r="G48" s="2">
        <v>1863.45</v>
      </c>
      <c r="H48" s="2" t="s">
        <v>17</v>
      </c>
      <c r="I48" s="2" t="s">
        <v>47</v>
      </c>
      <c r="J48" s="2" t="s">
        <v>78</v>
      </c>
      <c r="K48" s="4"/>
      <c r="L48" s="2" t="s">
        <v>20</v>
      </c>
    </row>
    <row r="49" spans="1:12" x14ac:dyDescent="0.3">
      <c r="A49" s="3" t="s">
        <v>168</v>
      </c>
      <c r="B49" s="3" t="s">
        <v>169</v>
      </c>
      <c r="C49" s="3" t="s">
        <v>40</v>
      </c>
      <c r="D49" s="3" t="s">
        <v>55</v>
      </c>
      <c r="E49" s="3" t="s">
        <v>151</v>
      </c>
      <c r="F49" s="3">
        <v>2</v>
      </c>
      <c r="G49" s="3">
        <v>4174.28</v>
      </c>
      <c r="H49" s="3" t="s">
        <v>57</v>
      </c>
      <c r="I49" s="4"/>
      <c r="J49" s="3" t="s">
        <v>19</v>
      </c>
      <c r="K49" s="3">
        <v>10</v>
      </c>
      <c r="L49" s="3" t="s">
        <v>28</v>
      </c>
    </row>
    <row r="50" spans="1:12" x14ac:dyDescent="0.3">
      <c r="A50" s="2" t="s">
        <v>170</v>
      </c>
      <c r="B50" s="2" t="s">
        <v>171</v>
      </c>
      <c r="C50" s="2" t="s">
        <v>14</v>
      </c>
      <c r="D50" s="2" t="s">
        <v>65</v>
      </c>
      <c r="E50" s="2" t="s">
        <v>101</v>
      </c>
      <c r="F50" s="2">
        <v>3</v>
      </c>
      <c r="G50" s="2">
        <v>6225.38</v>
      </c>
      <c r="H50" s="2" t="s">
        <v>57</v>
      </c>
      <c r="I50" s="2" t="s">
        <v>37</v>
      </c>
      <c r="J50" s="2" t="s">
        <v>131</v>
      </c>
      <c r="K50" s="2">
        <v>20</v>
      </c>
      <c r="L50" s="2" t="s">
        <v>20</v>
      </c>
    </row>
    <row r="51" spans="1:12" x14ac:dyDescent="0.3">
      <c r="A51" s="3" t="s">
        <v>172</v>
      </c>
      <c r="B51" s="3" t="s">
        <v>134</v>
      </c>
      <c r="C51" s="3" t="s">
        <v>97</v>
      </c>
      <c r="D51" s="3" t="s">
        <v>15</v>
      </c>
      <c r="E51" s="3" t="s">
        <v>173</v>
      </c>
      <c r="F51" s="3">
        <v>1</v>
      </c>
      <c r="G51" s="3">
        <v>1718.2</v>
      </c>
      <c r="H51" s="3" t="s">
        <v>57</v>
      </c>
      <c r="I51" s="3" t="s">
        <v>18</v>
      </c>
      <c r="J51" s="3" t="s">
        <v>19</v>
      </c>
      <c r="K51" s="3">
        <v>5</v>
      </c>
      <c r="L51" s="4"/>
    </row>
    <row r="52" spans="1:12" x14ac:dyDescent="0.3">
      <c r="A52" s="2" t="s">
        <v>174</v>
      </c>
      <c r="B52" s="2" t="s">
        <v>103</v>
      </c>
      <c r="C52" s="2" t="s">
        <v>30</v>
      </c>
      <c r="D52" s="2" t="s">
        <v>81</v>
      </c>
      <c r="E52" s="2" t="s">
        <v>161</v>
      </c>
      <c r="F52" s="2">
        <v>6</v>
      </c>
      <c r="G52" s="4">
        <v>0</v>
      </c>
      <c r="H52" s="2" t="s">
        <v>17</v>
      </c>
      <c r="I52" s="2" t="s">
        <v>18</v>
      </c>
      <c r="J52" s="2" t="s">
        <v>19</v>
      </c>
      <c r="K52" s="2">
        <v>20</v>
      </c>
      <c r="L52" s="2" t="s">
        <v>20</v>
      </c>
    </row>
    <row r="53" spans="1:12" x14ac:dyDescent="0.3">
      <c r="A53" s="3" t="s">
        <v>175</v>
      </c>
      <c r="B53" s="3" t="s">
        <v>176</v>
      </c>
      <c r="C53" s="3" t="s">
        <v>88</v>
      </c>
      <c r="D53" s="3" t="s">
        <v>31</v>
      </c>
      <c r="E53" s="3" t="s">
        <v>177</v>
      </c>
      <c r="F53" s="3">
        <v>9</v>
      </c>
      <c r="G53" s="3">
        <v>646.39</v>
      </c>
      <c r="H53" s="3" t="s">
        <v>57</v>
      </c>
      <c r="I53" s="3" t="s">
        <v>47</v>
      </c>
      <c r="J53" s="4"/>
      <c r="K53" s="3">
        <v>10</v>
      </c>
      <c r="L53" s="3" t="s">
        <v>28</v>
      </c>
    </row>
    <row r="54" spans="1:12" x14ac:dyDescent="0.3">
      <c r="A54" s="2" t="s">
        <v>178</v>
      </c>
      <c r="B54" s="2" t="s">
        <v>179</v>
      </c>
      <c r="C54" s="2" t="s">
        <v>88</v>
      </c>
      <c r="D54" s="2" t="s">
        <v>72</v>
      </c>
      <c r="E54" s="2" t="s">
        <v>180</v>
      </c>
      <c r="F54" s="2">
        <v>1</v>
      </c>
      <c r="G54" s="2">
        <v>3363.41</v>
      </c>
      <c r="H54" s="2" t="s">
        <v>26</v>
      </c>
      <c r="I54" s="2" t="s">
        <v>47</v>
      </c>
      <c r="J54" s="2" t="s">
        <v>19</v>
      </c>
      <c r="K54" s="2">
        <v>15</v>
      </c>
      <c r="L54" s="2" t="s">
        <v>20</v>
      </c>
    </row>
    <row r="55" spans="1:12" x14ac:dyDescent="0.3">
      <c r="A55" s="3" t="s">
        <v>181</v>
      </c>
      <c r="B55" s="3" t="s">
        <v>22</v>
      </c>
      <c r="C55" s="3" t="s">
        <v>23</v>
      </c>
      <c r="D55" s="4"/>
      <c r="E55" s="3" t="s">
        <v>182</v>
      </c>
      <c r="F55" s="3">
        <v>4</v>
      </c>
      <c r="G55" s="3">
        <v>2574.41</v>
      </c>
      <c r="H55" s="3" t="s">
        <v>17</v>
      </c>
      <c r="I55" s="3" t="s">
        <v>18</v>
      </c>
      <c r="J55" s="3" t="s">
        <v>19</v>
      </c>
      <c r="K55" s="3">
        <v>0</v>
      </c>
      <c r="L55" s="3" t="s">
        <v>20</v>
      </c>
    </row>
    <row r="56" spans="1:12" x14ac:dyDescent="0.3">
      <c r="A56" s="2" t="s">
        <v>183</v>
      </c>
      <c r="B56" s="2" t="s">
        <v>184</v>
      </c>
      <c r="C56" s="2" t="s">
        <v>124</v>
      </c>
      <c r="D56" s="2" t="s">
        <v>15</v>
      </c>
      <c r="E56" s="2" t="s">
        <v>98</v>
      </c>
      <c r="F56" s="2">
        <v>7</v>
      </c>
      <c r="G56" s="2">
        <v>2639.76</v>
      </c>
      <c r="H56" s="2" t="s">
        <v>57</v>
      </c>
      <c r="I56" s="2" t="s">
        <v>37</v>
      </c>
      <c r="J56" s="2" t="s">
        <v>19</v>
      </c>
      <c r="K56" s="2">
        <v>15</v>
      </c>
      <c r="L56" s="2" t="s">
        <v>20</v>
      </c>
    </row>
    <row r="57" spans="1:12" x14ac:dyDescent="0.3">
      <c r="A57" s="3" t="s">
        <v>185</v>
      </c>
      <c r="B57" s="3" t="s">
        <v>143</v>
      </c>
      <c r="C57" s="3" t="s">
        <v>97</v>
      </c>
      <c r="D57" s="3" t="s">
        <v>55</v>
      </c>
      <c r="E57" s="3" t="s">
        <v>186</v>
      </c>
      <c r="F57" s="3">
        <v>6</v>
      </c>
      <c r="G57" s="3">
        <v>822.11</v>
      </c>
      <c r="H57" s="3" t="s">
        <v>36</v>
      </c>
      <c r="I57" s="3" t="s">
        <v>42</v>
      </c>
      <c r="J57" s="3" t="s">
        <v>19</v>
      </c>
      <c r="K57" s="3">
        <v>15</v>
      </c>
      <c r="L57" s="3" t="s">
        <v>28</v>
      </c>
    </row>
    <row r="58" spans="1:12" x14ac:dyDescent="0.3">
      <c r="A58" s="2" t="s">
        <v>185</v>
      </c>
      <c r="B58" s="2" t="s">
        <v>143</v>
      </c>
      <c r="C58" s="2" t="s">
        <v>97</v>
      </c>
      <c r="D58" s="2" t="s">
        <v>55</v>
      </c>
      <c r="E58" s="2" t="s">
        <v>186</v>
      </c>
      <c r="F58" s="2">
        <v>6</v>
      </c>
      <c r="G58" s="2">
        <v>822.11</v>
      </c>
      <c r="H58" s="2" t="s">
        <v>36</v>
      </c>
      <c r="I58" s="2" t="s">
        <v>42</v>
      </c>
      <c r="J58" s="2" t="s">
        <v>19</v>
      </c>
      <c r="K58" s="2">
        <v>15</v>
      </c>
      <c r="L58" s="2" t="s">
        <v>28</v>
      </c>
    </row>
    <row r="59" spans="1:12" x14ac:dyDescent="0.3">
      <c r="A59" s="3" t="s">
        <v>187</v>
      </c>
      <c r="B59" s="3" t="s">
        <v>188</v>
      </c>
      <c r="C59" s="3" t="s">
        <v>124</v>
      </c>
      <c r="D59" s="3" t="s">
        <v>65</v>
      </c>
      <c r="E59" s="3" t="s">
        <v>66</v>
      </c>
      <c r="F59" s="3">
        <v>10</v>
      </c>
      <c r="G59" s="3">
        <v>6126.49</v>
      </c>
      <c r="H59" s="4"/>
      <c r="I59" s="3" t="s">
        <v>37</v>
      </c>
      <c r="J59" s="3" t="s">
        <v>19</v>
      </c>
      <c r="K59" s="3">
        <v>5</v>
      </c>
      <c r="L59" s="3" t="s">
        <v>20</v>
      </c>
    </row>
    <row r="60" spans="1:12" x14ac:dyDescent="0.3">
      <c r="A60" s="2" t="s">
        <v>189</v>
      </c>
      <c r="B60" s="2" t="s">
        <v>190</v>
      </c>
      <c r="C60" s="4"/>
      <c r="D60" s="2" t="s">
        <v>24</v>
      </c>
      <c r="E60" s="2" t="s">
        <v>62</v>
      </c>
      <c r="F60" s="2">
        <v>7</v>
      </c>
      <c r="G60" s="2">
        <v>7714.99</v>
      </c>
      <c r="H60" s="2" t="s">
        <v>26</v>
      </c>
      <c r="I60" s="2" t="s">
        <v>37</v>
      </c>
      <c r="J60" s="2" t="s">
        <v>19</v>
      </c>
      <c r="K60" s="2">
        <v>20</v>
      </c>
      <c r="L60" s="2" t="s">
        <v>20</v>
      </c>
    </row>
    <row r="61" spans="1:12" x14ac:dyDescent="0.3">
      <c r="A61" s="3" t="s">
        <v>191</v>
      </c>
      <c r="B61" s="3" t="s">
        <v>136</v>
      </c>
      <c r="C61" s="3" t="s">
        <v>23</v>
      </c>
      <c r="D61" s="3" t="s">
        <v>65</v>
      </c>
      <c r="E61" s="3" t="s">
        <v>77</v>
      </c>
      <c r="F61" s="4">
        <v>-7</v>
      </c>
      <c r="G61" s="3">
        <v>4143.87</v>
      </c>
      <c r="H61" s="3" t="s">
        <v>90</v>
      </c>
      <c r="I61" s="3" t="s">
        <v>42</v>
      </c>
      <c r="J61" s="3" t="s">
        <v>19</v>
      </c>
      <c r="K61" s="3">
        <v>5</v>
      </c>
      <c r="L61" s="3" t="s">
        <v>28</v>
      </c>
    </row>
    <row r="62" spans="1:12" x14ac:dyDescent="0.3">
      <c r="A62" s="2" t="s">
        <v>192</v>
      </c>
      <c r="B62" s="2" t="s">
        <v>193</v>
      </c>
      <c r="C62" s="2" t="s">
        <v>30</v>
      </c>
      <c r="D62" s="2" t="s">
        <v>194</v>
      </c>
      <c r="E62" s="2" t="s">
        <v>195</v>
      </c>
      <c r="F62" s="2">
        <v>7</v>
      </c>
      <c r="G62" s="2">
        <v>6113.5</v>
      </c>
      <c r="H62" s="2" t="s">
        <v>17</v>
      </c>
      <c r="I62" s="2" t="s">
        <v>18</v>
      </c>
      <c r="J62" s="2" t="s">
        <v>91</v>
      </c>
      <c r="K62" s="2">
        <v>0</v>
      </c>
      <c r="L62" s="2" t="s">
        <v>28</v>
      </c>
    </row>
    <row r="63" spans="1:12" x14ac:dyDescent="0.3">
      <c r="A63" s="3" t="s">
        <v>196</v>
      </c>
      <c r="B63" s="3" t="s">
        <v>22</v>
      </c>
      <c r="C63" s="3" t="s">
        <v>124</v>
      </c>
      <c r="D63" s="3" t="s">
        <v>160</v>
      </c>
      <c r="E63" s="3" t="s">
        <v>82</v>
      </c>
      <c r="F63" s="3">
        <v>4</v>
      </c>
      <c r="G63" s="3">
        <v>216.24</v>
      </c>
      <c r="H63" s="3" t="s">
        <v>57</v>
      </c>
      <c r="I63" s="3" t="s">
        <v>42</v>
      </c>
      <c r="J63" s="3" t="s">
        <v>78</v>
      </c>
      <c r="K63" s="3">
        <v>0</v>
      </c>
      <c r="L63" s="3" t="s">
        <v>28</v>
      </c>
    </row>
    <row r="64" spans="1:12" x14ac:dyDescent="0.3">
      <c r="A64" s="2" t="s">
        <v>197</v>
      </c>
      <c r="B64" s="2" t="s">
        <v>198</v>
      </c>
      <c r="C64" s="2" t="s">
        <v>163</v>
      </c>
      <c r="D64" s="2" t="s">
        <v>72</v>
      </c>
      <c r="E64" s="2" t="s">
        <v>110</v>
      </c>
      <c r="F64" s="2">
        <v>9</v>
      </c>
      <c r="G64" s="2">
        <v>6342.1</v>
      </c>
      <c r="H64" s="2" t="s">
        <v>90</v>
      </c>
      <c r="I64" s="2" t="s">
        <v>27</v>
      </c>
      <c r="J64" s="2" t="s">
        <v>19</v>
      </c>
      <c r="K64" s="2">
        <v>20</v>
      </c>
      <c r="L64" s="2" t="s">
        <v>20</v>
      </c>
    </row>
    <row r="65" spans="1:12" x14ac:dyDescent="0.3">
      <c r="A65" s="3" t="s">
        <v>199</v>
      </c>
      <c r="B65" s="3" t="s">
        <v>200</v>
      </c>
      <c r="C65" s="3" t="s">
        <v>61</v>
      </c>
      <c r="D65" s="3" t="s">
        <v>72</v>
      </c>
      <c r="E65" s="3" t="s">
        <v>110</v>
      </c>
      <c r="F65" s="3">
        <v>7</v>
      </c>
      <c r="G65" s="3">
        <v>6502.61</v>
      </c>
      <c r="H65" s="3" t="s">
        <v>36</v>
      </c>
      <c r="I65" s="3" t="s">
        <v>42</v>
      </c>
      <c r="J65" s="3" t="s">
        <v>19</v>
      </c>
      <c r="K65" s="3">
        <v>20</v>
      </c>
      <c r="L65" s="3" t="s">
        <v>20</v>
      </c>
    </row>
    <row r="66" spans="1:12" x14ac:dyDescent="0.3">
      <c r="A66" s="2" t="s">
        <v>201</v>
      </c>
      <c r="B66" s="2" t="s">
        <v>202</v>
      </c>
      <c r="C66" s="2" t="s">
        <v>61</v>
      </c>
      <c r="D66" s="2" t="s">
        <v>15</v>
      </c>
      <c r="E66" s="2" t="s">
        <v>98</v>
      </c>
      <c r="F66" s="2">
        <v>10</v>
      </c>
      <c r="G66" s="2">
        <v>4539.01</v>
      </c>
      <c r="H66" s="2" t="s">
        <v>36</v>
      </c>
      <c r="I66" s="2" t="s">
        <v>27</v>
      </c>
      <c r="J66" s="2" t="s">
        <v>58</v>
      </c>
      <c r="K66" s="4"/>
      <c r="L66" s="2" t="s">
        <v>20</v>
      </c>
    </row>
    <row r="67" spans="1:12" x14ac:dyDescent="0.3">
      <c r="A67" s="3" t="s">
        <v>203</v>
      </c>
      <c r="B67" s="3" t="s">
        <v>179</v>
      </c>
      <c r="C67" s="3" t="s">
        <v>137</v>
      </c>
      <c r="D67" s="3" t="s">
        <v>55</v>
      </c>
      <c r="E67" s="3" t="s">
        <v>56</v>
      </c>
      <c r="F67" s="3">
        <v>4</v>
      </c>
      <c r="G67" s="3">
        <v>3203.56</v>
      </c>
      <c r="H67" s="3" t="s">
        <v>57</v>
      </c>
      <c r="I67" s="4"/>
      <c r="J67" s="3" t="s">
        <v>19</v>
      </c>
      <c r="K67" s="3">
        <v>15</v>
      </c>
      <c r="L67" s="3" t="s">
        <v>28</v>
      </c>
    </row>
    <row r="68" spans="1:12" x14ac:dyDescent="0.3">
      <c r="A68" s="2" t="s">
        <v>204</v>
      </c>
      <c r="B68" s="2" t="s">
        <v>205</v>
      </c>
      <c r="C68" s="2" t="s">
        <v>45</v>
      </c>
      <c r="D68" s="2" t="s">
        <v>24</v>
      </c>
      <c r="E68" s="2" t="s">
        <v>25</v>
      </c>
      <c r="F68" s="2">
        <v>3</v>
      </c>
      <c r="G68" s="2">
        <v>3891.03</v>
      </c>
      <c r="H68" s="2" t="s">
        <v>57</v>
      </c>
      <c r="I68" s="2" t="s">
        <v>42</v>
      </c>
      <c r="J68" s="2" t="s">
        <v>206</v>
      </c>
      <c r="K68" s="2">
        <v>0</v>
      </c>
      <c r="L68" s="2" t="s">
        <v>20</v>
      </c>
    </row>
    <row r="69" spans="1:12" x14ac:dyDescent="0.3">
      <c r="A69" s="3" t="s">
        <v>207</v>
      </c>
      <c r="B69" s="3" t="s">
        <v>129</v>
      </c>
      <c r="C69" s="3" t="s">
        <v>130</v>
      </c>
      <c r="D69" s="3" t="s">
        <v>81</v>
      </c>
      <c r="E69" s="3" t="s">
        <v>82</v>
      </c>
      <c r="F69" s="3">
        <v>1</v>
      </c>
      <c r="G69" s="3">
        <v>4312.09</v>
      </c>
      <c r="H69" s="3" t="s">
        <v>36</v>
      </c>
      <c r="I69" s="3" t="s">
        <v>27</v>
      </c>
      <c r="J69" s="3" t="s">
        <v>19</v>
      </c>
      <c r="K69" s="3">
        <v>0</v>
      </c>
      <c r="L69" s="4"/>
    </row>
    <row r="70" spans="1:12" x14ac:dyDescent="0.3">
      <c r="A70" s="2" t="s">
        <v>208</v>
      </c>
      <c r="B70" s="2" t="s">
        <v>209</v>
      </c>
      <c r="C70" s="2" t="s">
        <v>113</v>
      </c>
      <c r="D70" s="2" t="s">
        <v>81</v>
      </c>
      <c r="E70" s="2" t="s">
        <v>82</v>
      </c>
      <c r="F70" s="2">
        <v>8</v>
      </c>
      <c r="G70" s="4">
        <v>0</v>
      </c>
      <c r="H70" s="2" t="s">
        <v>57</v>
      </c>
      <c r="I70" s="2" t="s">
        <v>47</v>
      </c>
      <c r="J70" s="2" t="s">
        <v>19</v>
      </c>
      <c r="K70" s="2">
        <v>15</v>
      </c>
      <c r="L70" s="2" t="s">
        <v>20</v>
      </c>
    </row>
    <row r="71" spans="1:12" x14ac:dyDescent="0.3">
      <c r="A71" s="3" t="s">
        <v>210</v>
      </c>
      <c r="B71" s="3" t="s">
        <v>167</v>
      </c>
      <c r="C71" s="3" t="s">
        <v>50</v>
      </c>
      <c r="D71" s="3" t="s">
        <v>31</v>
      </c>
      <c r="E71" s="3" t="s">
        <v>32</v>
      </c>
      <c r="F71" s="3">
        <v>8</v>
      </c>
      <c r="G71" s="3">
        <v>3373.76</v>
      </c>
      <c r="H71" s="3" t="s">
        <v>17</v>
      </c>
      <c r="I71" s="3" t="s">
        <v>47</v>
      </c>
      <c r="J71" s="4"/>
      <c r="K71" s="3">
        <v>5</v>
      </c>
      <c r="L71" s="3" t="s">
        <v>20</v>
      </c>
    </row>
    <row r="72" spans="1:12" x14ac:dyDescent="0.3">
      <c r="A72" s="2" t="s">
        <v>211</v>
      </c>
      <c r="B72" s="2" t="s">
        <v>212</v>
      </c>
      <c r="C72" s="2" t="s">
        <v>137</v>
      </c>
      <c r="D72" s="2" t="s">
        <v>72</v>
      </c>
      <c r="E72" s="2" t="s">
        <v>213</v>
      </c>
      <c r="F72" s="2">
        <v>9</v>
      </c>
      <c r="G72" s="2">
        <v>7302.67</v>
      </c>
      <c r="H72" s="2" t="s">
        <v>17</v>
      </c>
      <c r="I72" s="2" t="s">
        <v>27</v>
      </c>
      <c r="J72" s="2" t="s">
        <v>19</v>
      </c>
      <c r="K72" s="2">
        <v>5</v>
      </c>
      <c r="L72" s="2" t="s">
        <v>20</v>
      </c>
    </row>
    <row r="73" spans="1:12" x14ac:dyDescent="0.3">
      <c r="A73" s="3" t="s">
        <v>214</v>
      </c>
      <c r="B73" s="3" t="s">
        <v>145</v>
      </c>
      <c r="C73" s="3" t="s">
        <v>14</v>
      </c>
      <c r="D73" s="4"/>
      <c r="E73" s="3" t="s">
        <v>94</v>
      </c>
      <c r="F73" s="3">
        <v>2</v>
      </c>
      <c r="G73" s="3">
        <v>7689.16</v>
      </c>
      <c r="H73" s="3" t="s">
        <v>90</v>
      </c>
      <c r="I73" s="3" t="s">
        <v>27</v>
      </c>
      <c r="J73" s="3" t="s">
        <v>19</v>
      </c>
      <c r="K73" s="3">
        <v>5</v>
      </c>
      <c r="L73" s="3" t="s">
        <v>20</v>
      </c>
    </row>
    <row r="74" spans="1:12" x14ac:dyDescent="0.3">
      <c r="A74" s="2" t="s">
        <v>215</v>
      </c>
      <c r="B74" s="2" t="s">
        <v>216</v>
      </c>
      <c r="C74" s="2" t="s">
        <v>124</v>
      </c>
      <c r="D74" s="2" t="s">
        <v>24</v>
      </c>
      <c r="E74" s="2" t="s">
        <v>25</v>
      </c>
      <c r="F74" s="2">
        <v>6</v>
      </c>
      <c r="G74" s="2">
        <v>7750.57</v>
      </c>
      <c r="H74" s="2" t="s">
        <v>57</v>
      </c>
      <c r="I74" s="2" t="s">
        <v>18</v>
      </c>
      <c r="J74" s="2" t="s">
        <v>19</v>
      </c>
      <c r="K74" s="2">
        <v>20</v>
      </c>
      <c r="L74" s="2" t="s">
        <v>20</v>
      </c>
    </row>
    <row r="75" spans="1:12" x14ac:dyDescent="0.3">
      <c r="A75" s="3" t="s">
        <v>217</v>
      </c>
      <c r="B75" s="3" t="s">
        <v>218</v>
      </c>
      <c r="C75" s="3" t="s">
        <v>137</v>
      </c>
      <c r="D75" s="3" t="s">
        <v>15</v>
      </c>
      <c r="E75" s="3" t="s">
        <v>173</v>
      </c>
      <c r="F75" s="3">
        <v>4</v>
      </c>
      <c r="G75" s="3">
        <v>6526.08</v>
      </c>
      <c r="H75" s="3" t="s">
        <v>90</v>
      </c>
      <c r="I75" s="3" t="s">
        <v>42</v>
      </c>
      <c r="J75" s="3" t="s">
        <v>78</v>
      </c>
      <c r="K75" s="3">
        <v>10</v>
      </c>
      <c r="L75" s="3" t="s">
        <v>20</v>
      </c>
    </row>
    <row r="76" spans="1:12" x14ac:dyDescent="0.3">
      <c r="A76" s="2" t="s">
        <v>217</v>
      </c>
      <c r="B76" s="2" t="s">
        <v>218</v>
      </c>
      <c r="C76" s="2" t="s">
        <v>137</v>
      </c>
      <c r="D76" s="2" t="s">
        <v>15</v>
      </c>
      <c r="E76" s="2" t="s">
        <v>173</v>
      </c>
      <c r="F76" s="2">
        <v>4</v>
      </c>
      <c r="G76" s="2">
        <v>6526.08</v>
      </c>
      <c r="H76" s="2" t="s">
        <v>90</v>
      </c>
      <c r="I76" s="2" t="s">
        <v>42</v>
      </c>
      <c r="J76" s="2" t="s">
        <v>78</v>
      </c>
      <c r="K76" s="2">
        <v>10</v>
      </c>
      <c r="L76" s="2" t="s">
        <v>20</v>
      </c>
    </row>
    <row r="77" spans="1:12" x14ac:dyDescent="0.3">
      <c r="A77" s="3" t="s">
        <v>219</v>
      </c>
      <c r="B77" s="3" t="s">
        <v>49</v>
      </c>
      <c r="C77" s="3" t="s">
        <v>23</v>
      </c>
      <c r="D77" s="3" t="s">
        <v>55</v>
      </c>
      <c r="E77" s="3" t="s">
        <v>151</v>
      </c>
      <c r="F77" s="3">
        <v>1</v>
      </c>
      <c r="G77" s="3">
        <v>1534.18</v>
      </c>
      <c r="H77" s="4"/>
      <c r="I77" s="3" t="s">
        <v>42</v>
      </c>
      <c r="J77" s="3" t="s">
        <v>58</v>
      </c>
      <c r="K77" s="3">
        <v>0</v>
      </c>
      <c r="L77" s="3" t="s">
        <v>28</v>
      </c>
    </row>
    <row r="78" spans="1:12" x14ac:dyDescent="0.3">
      <c r="A78" s="2" t="s">
        <v>220</v>
      </c>
      <c r="B78" s="2" t="s">
        <v>221</v>
      </c>
      <c r="C78" s="4"/>
      <c r="D78" s="2" t="s">
        <v>31</v>
      </c>
      <c r="E78" s="2" t="s">
        <v>222</v>
      </c>
      <c r="F78" s="2">
        <v>2</v>
      </c>
      <c r="G78" s="2">
        <v>2204.96</v>
      </c>
      <c r="H78" s="2" t="s">
        <v>26</v>
      </c>
      <c r="I78" s="2" t="s">
        <v>42</v>
      </c>
      <c r="J78" s="2" t="s">
        <v>19</v>
      </c>
      <c r="K78" s="2">
        <v>10</v>
      </c>
      <c r="L78" s="2" t="s">
        <v>28</v>
      </c>
    </row>
    <row r="79" spans="1:12" x14ac:dyDescent="0.3">
      <c r="A79" s="3" t="s">
        <v>223</v>
      </c>
      <c r="B79" s="3" t="s">
        <v>224</v>
      </c>
      <c r="C79" s="3" t="s">
        <v>50</v>
      </c>
      <c r="D79" s="3" t="s">
        <v>55</v>
      </c>
      <c r="E79" s="3" t="s">
        <v>225</v>
      </c>
      <c r="F79" s="4">
        <v>-7</v>
      </c>
      <c r="G79" s="3">
        <v>4183.8599999999997</v>
      </c>
      <c r="H79" s="3" t="s">
        <v>57</v>
      </c>
      <c r="I79" s="3" t="s">
        <v>27</v>
      </c>
      <c r="J79" s="3" t="s">
        <v>19</v>
      </c>
      <c r="K79" s="3">
        <v>15</v>
      </c>
      <c r="L79" s="3" t="s">
        <v>20</v>
      </c>
    </row>
    <row r="80" spans="1:12" x14ac:dyDescent="0.3">
      <c r="A80" s="2" t="s">
        <v>226</v>
      </c>
      <c r="B80" s="2" t="s">
        <v>227</v>
      </c>
      <c r="C80" s="2" t="s">
        <v>88</v>
      </c>
      <c r="D80" s="2" t="s">
        <v>46</v>
      </c>
      <c r="E80" s="2" t="s">
        <v>85</v>
      </c>
      <c r="F80" s="2">
        <v>9</v>
      </c>
      <c r="G80" s="2">
        <v>2347.89</v>
      </c>
      <c r="H80" s="2" t="s">
        <v>36</v>
      </c>
      <c r="I80" s="2" t="s">
        <v>18</v>
      </c>
      <c r="J80" s="2" t="s">
        <v>78</v>
      </c>
      <c r="K80" s="2">
        <v>15</v>
      </c>
      <c r="L80" s="2" t="s">
        <v>28</v>
      </c>
    </row>
    <row r="81" spans="1:12" x14ac:dyDescent="0.3">
      <c r="A81" s="3" t="s">
        <v>228</v>
      </c>
      <c r="B81" s="3" t="s">
        <v>229</v>
      </c>
      <c r="C81" s="3" t="s">
        <v>88</v>
      </c>
      <c r="D81" s="3" t="s">
        <v>160</v>
      </c>
      <c r="E81" s="3" t="s">
        <v>161</v>
      </c>
      <c r="F81" s="3">
        <v>9</v>
      </c>
      <c r="G81" s="3">
        <v>4451.08</v>
      </c>
      <c r="H81" s="3" t="s">
        <v>36</v>
      </c>
      <c r="I81" s="3" t="s">
        <v>47</v>
      </c>
      <c r="J81" s="3" t="s">
        <v>58</v>
      </c>
      <c r="K81" s="3">
        <v>15</v>
      </c>
      <c r="L81" s="3" t="s">
        <v>20</v>
      </c>
    </row>
    <row r="82" spans="1:12" x14ac:dyDescent="0.3">
      <c r="A82" s="2" t="s">
        <v>230</v>
      </c>
      <c r="B82" s="2" t="s">
        <v>231</v>
      </c>
      <c r="C82" s="2" t="s">
        <v>232</v>
      </c>
      <c r="D82" s="2" t="s">
        <v>55</v>
      </c>
      <c r="E82" s="2" t="s">
        <v>56</v>
      </c>
      <c r="F82" s="2">
        <v>5</v>
      </c>
      <c r="G82" s="2">
        <v>7155.08</v>
      </c>
      <c r="H82" s="2" t="s">
        <v>36</v>
      </c>
      <c r="I82" s="2" t="s">
        <v>47</v>
      </c>
      <c r="J82" s="2" t="s">
        <v>19</v>
      </c>
      <c r="K82" s="2">
        <v>20</v>
      </c>
      <c r="L82" s="2" t="s">
        <v>20</v>
      </c>
    </row>
    <row r="83" spans="1:12" x14ac:dyDescent="0.3">
      <c r="A83" s="3" t="s">
        <v>233</v>
      </c>
      <c r="B83" s="3" t="s">
        <v>234</v>
      </c>
      <c r="C83" s="3" t="s">
        <v>127</v>
      </c>
      <c r="D83" s="3" t="s">
        <v>24</v>
      </c>
      <c r="E83" s="3" t="s">
        <v>25</v>
      </c>
      <c r="F83" s="3">
        <v>9</v>
      </c>
      <c r="G83" s="3">
        <v>3262.48</v>
      </c>
      <c r="H83" s="3" t="s">
        <v>17</v>
      </c>
      <c r="I83" s="3" t="s">
        <v>27</v>
      </c>
      <c r="J83" s="3" t="s">
        <v>19</v>
      </c>
      <c r="K83" s="3">
        <v>15</v>
      </c>
      <c r="L83" s="3" t="s">
        <v>20</v>
      </c>
    </row>
    <row r="84" spans="1:12" x14ac:dyDescent="0.3">
      <c r="A84" s="2" t="s">
        <v>235</v>
      </c>
      <c r="B84" s="2" t="s">
        <v>190</v>
      </c>
      <c r="C84" s="2" t="s">
        <v>23</v>
      </c>
      <c r="D84" s="2" t="s">
        <v>81</v>
      </c>
      <c r="E84" s="2" t="s">
        <v>104</v>
      </c>
      <c r="F84" s="2">
        <v>1</v>
      </c>
      <c r="G84" s="2">
        <v>6532.11</v>
      </c>
      <c r="H84" s="2" t="s">
        <v>90</v>
      </c>
      <c r="I84" s="2" t="s">
        <v>27</v>
      </c>
      <c r="J84" s="2" t="s">
        <v>19</v>
      </c>
      <c r="K84" s="4"/>
      <c r="L84" s="2" t="s">
        <v>28</v>
      </c>
    </row>
    <row r="85" spans="1:12" x14ac:dyDescent="0.3">
      <c r="A85" s="3" t="s">
        <v>236</v>
      </c>
      <c r="B85" s="3" t="s">
        <v>237</v>
      </c>
      <c r="C85" s="3" t="s">
        <v>88</v>
      </c>
      <c r="D85" s="3" t="s">
        <v>81</v>
      </c>
      <c r="E85" s="3" t="s">
        <v>161</v>
      </c>
      <c r="F85" s="3">
        <v>3</v>
      </c>
      <c r="G85" s="3">
        <v>3703.05</v>
      </c>
      <c r="H85" s="3" t="s">
        <v>26</v>
      </c>
      <c r="I85" s="4"/>
      <c r="J85" s="3" t="s">
        <v>58</v>
      </c>
      <c r="K85" s="3">
        <v>0</v>
      </c>
      <c r="L85" s="3" t="s">
        <v>20</v>
      </c>
    </row>
    <row r="86" spans="1:12" x14ac:dyDescent="0.3">
      <c r="A86" s="2" t="s">
        <v>238</v>
      </c>
      <c r="B86" s="2" t="s">
        <v>112</v>
      </c>
      <c r="C86" s="2" t="s">
        <v>127</v>
      </c>
      <c r="D86" s="2" t="s">
        <v>65</v>
      </c>
      <c r="E86" s="2" t="s">
        <v>138</v>
      </c>
      <c r="F86" s="2">
        <v>9</v>
      </c>
      <c r="G86" s="2">
        <v>5945.26</v>
      </c>
      <c r="H86" s="2" t="s">
        <v>90</v>
      </c>
      <c r="I86" s="2" t="s">
        <v>37</v>
      </c>
      <c r="J86" s="2" t="s">
        <v>206</v>
      </c>
      <c r="K86" s="2">
        <v>20</v>
      </c>
      <c r="L86" s="2" t="s">
        <v>20</v>
      </c>
    </row>
    <row r="102" spans="1:1" x14ac:dyDescent="0.3">
      <c r="A102" s="5" t="s">
        <v>239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"/>
  <sheetViews>
    <sheetView showGridLines="0" tabSelected="1" topLeftCell="B1" zoomScaleNormal="100" workbookViewId="0">
      <selection activeCell="I5" sqref="I5"/>
    </sheetView>
  </sheetViews>
  <sheetFormatPr defaultColWidth="8.6640625" defaultRowHeight="14.4" x14ac:dyDescent="0.3"/>
  <cols>
    <col min="1" max="1" width="5" customWidth="1"/>
    <col min="2" max="2" width="26" customWidth="1"/>
    <col min="3" max="3" width="18" customWidth="1"/>
    <col min="4" max="4" width="12" customWidth="1"/>
    <col min="5" max="5" width="40" hidden="1" customWidth="1"/>
    <col min="6" max="6" width="50" customWidth="1"/>
  </cols>
  <sheetData>
    <row r="1" spans="1:6" ht="34.5" customHeight="1" x14ac:dyDescent="0.3">
      <c r="A1" s="47" t="s">
        <v>240</v>
      </c>
      <c r="B1" s="47"/>
      <c r="C1" s="47"/>
      <c r="D1" s="47"/>
      <c r="E1" s="47"/>
      <c r="F1" s="47"/>
    </row>
    <row r="2" spans="1:6" ht="27.75" customHeight="1" x14ac:dyDescent="0.3">
      <c r="A2" s="6" t="s">
        <v>241</v>
      </c>
      <c r="B2" s="6" t="s">
        <v>242</v>
      </c>
      <c r="C2" s="6" t="s">
        <v>243</v>
      </c>
      <c r="D2" s="6" t="s">
        <v>244</v>
      </c>
      <c r="E2" s="6"/>
      <c r="F2" s="6" t="s">
        <v>245</v>
      </c>
    </row>
    <row r="3" spans="1:6" ht="37.5" customHeight="1" x14ac:dyDescent="0.3">
      <c r="A3" s="7">
        <v>1</v>
      </c>
      <c r="B3" s="8" t="s">
        <v>246</v>
      </c>
      <c r="C3" s="9" t="s">
        <v>247</v>
      </c>
      <c r="D3" s="9" t="s">
        <v>248</v>
      </c>
      <c r="E3" s="6"/>
      <c r="F3" s="9" t="s">
        <v>249</v>
      </c>
    </row>
    <row r="4" spans="1:6" ht="37.5" customHeight="1" x14ac:dyDescent="0.3">
      <c r="A4" s="10">
        <v>2</v>
      </c>
      <c r="B4" s="11" t="s">
        <v>250</v>
      </c>
      <c r="C4" s="12" t="s">
        <v>251</v>
      </c>
      <c r="D4" s="12" t="s">
        <v>252</v>
      </c>
      <c r="E4" s="6"/>
      <c r="F4" s="12" t="s">
        <v>253</v>
      </c>
    </row>
    <row r="5" spans="1:6" ht="37.5" customHeight="1" x14ac:dyDescent="0.3">
      <c r="A5" s="7">
        <v>3</v>
      </c>
      <c r="B5" s="8" t="s">
        <v>254</v>
      </c>
      <c r="C5" s="9" t="s">
        <v>255</v>
      </c>
      <c r="D5" s="9" t="s">
        <v>256</v>
      </c>
      <c r="E5" s="6"/>
      <c r="F5" s="9" t="s">
        <v>257</v>
      </c>
    </row>
    <row r="6" spans="1:6" ht="37.5" customHeight="1" x14ac:dyDescent="0.3">
      <c r="A6" s="10">
        <v>4</v>
      </c>
      <c r="B6" s="11" t="s">
        <v>258</v>
      </c>
      <c r="C6" s="12" t="s">
        <v>259</v>
      </c>
      <c r="D6" s="12" t="s">
        <v>256</v>
      </c>
      <c r="E6" s="6"/>
      <c r="F6" s="12" t="s">
        <v>260</v>
      </c>
    </row>
    <row r="7" spans="1:6" ht="37.5" customHeight="1" x14ac:dyDescent="0.3">
      <c r="A7" s="7">
        <v>5</v>
      </c>
      <c r="B7" s="8" t="s">
        <v>261</v>
      </c>
      <c r="C7" s="9" t="s">
        <v>262</v>
      </c>
      <c r="D7" s="9" t="s">
        <v>263</v>
      </c>
      <c r="E7" s="6"/>
      <c r="F7" s="9" t="s">
        <v>264</v>
      </c>
    </row>
    <row r="8" spans="1:6" ht="37.5" customHeight="1" x14ac:dyDescent="0.3">
      <c r="A8" s="10">
        <v>6</v>
      </c>
      <c r="B8" s="11" t="s">
        <v>265</v>
      </c>
      <c r="C8" s="12" t="s">
        <v>262</v>
      </c>
      <c r="D8" s="12" t="s">
        <v>256</v>
      </c>
      <c r="E8" s="6"/>
      <c r="F8" s="12" t="s">
        <v>264</v>
      </c>
    </row>
    <row r="9" spans="1:6" ht="37.5" customHeight="1" x14ac:dyDescent="0.3">
      <c r="A9" s="7">
        <v>7</v>
      </c>
      <c r="B9" s="8" t="s">
        <v>266</v>
      </c>
      <c r="C9" s="9" t="s">
        <v>255</v>
      </c>
      <c r="D9" s="9" t="s">
        <v>267</v>
      </c>
      <c r="E9" s="6"/>
      <c r="F9" s="9" t="s">
        <v>268</v>
      </c>
    </row>
    <row r="10" spans="1:6" ht="37.5" customHeight="1" x14ac:dyDescent="0.3">
      <c r="A10" s="10">
        <v>8</v>
      </c>
      <c r="B10" s="11" t="s">
        <v>269</v>
      </c>
      <c r="C10" s="12" t="s">
        <v>270</v>
      </c>
      <c r="D10" s="12" t="s">
        <v>271</v>
      </c>
      <c r="E10" s="6"/>
      <c r="F10" s="12" t="s">
        <v>272</v>
      </c>
    </row>
    <row r="11" spans="1:6" ht="37.5" customHeight="1" x14ac:dyDescent="0.3">
      <c r="A11" s="7">
        <v>9</v>
      </c>
      <c r="B11" s="8" t="s">
        <v>273</v>
      </c>
      <c r="C11" s="9" t="s">
        <v>274</v>
      </c>
      <c r="D11" s="9" t="s">
        <v>263</v>
      </c>
      <c r="E11" s="6"/>
      <c r="F11" s="9" t="s">
        <v>275</v>
      </c>
    </row>
    <row r="12" spans="1:6" ht="37.5" customHeight="1" x14ac:dyDescent="0.3">
      <c r="A12" s="10">
        <v>10</v>
      </c>
      <c r="B12" s="11" t="s">
        <v>276</v>
      </c>
      <c r="C12" s="12" t="s">
        <v>277</v>
      </c>
      <c r="D12" s="12" t="s">
        <v>256</v>
      </c>
      <c r="E12" s="6"/>
      <c r="F12" s="12" t="s">
        <v>278</v>
      </c>
    </row>
    <row r="13" spans="1:6" ht="37.5" customHeight="1" x14ac:dyDescent="0.3">
      <c r="A13" s="7">
        <v>11</v>
      </c>
      <c r="B13" s="8" t="s">
        <v>279</v>
      </c>
      <c r="C13" s="9" t="s">
        <v>280</v>
      </c>
      <c r="D13" s="9" t="s">
        <v>271</v>
      </c>
      <c r="E13" s="6"/>
      <c r="F13" s="9" t="s">
        <v>281</v>
      </c>
    </row>
    <row r="14" spans="1:6" ht="37.5" customHeight="1" x14ac:dyDescent="0.3">
      <c r="A14" s="10">
        <v>12</v>
      </c>
      <c r="B14" s="11" t="s">
        <v>282</v>
      </c>
      <c r="C14" s="12" t="s">
        <v>283</v>
      </c>
      <c r="D14" s="12" t="s">
        <v>256</v>
      </c>
      <c r="E14" s="6"/>
      <c r="F14" s="12" t="s">
        <v>284</v>
      </c>
    </row>
    <row r="15" spans="1:6" ht="37.5" customHeight="1" x14ac:dyDescent="0.3">
      <c r="A15" s="7">
        <v>13</v>
      </c>
      <c r="B15" s="8" t="s">
        <v>285</v>
      </c>
      <c r="C15" s="9" t="s">
        <v>286</v>
      </c>
      <c r="D15" s="9" t="s">
        <v>287</v>
      </c>
      <c r="E15" s="6"/>
      <c r="F15" s="9" t="s">
        <v>288</v>
      </c>
    </row>
    <row r="16" spans="1:6" ht="37.5" customHeight="1" x14ac:dyDescent="0.3">
      <c r="A16" s="10">
        <v>14</v>
      </c>
      <c r="B16" s="11" t="s">
        <v>289</v>
      </c>
      <c r="C16" s="12" t="s">
        <v>280</v>
      </c>
      <c r="D16" s="12" t="s">
        <v>267</v>
      </c>
      <c r="E16" s="6"/>
      <c r="F16" s="12" t="s">
        <v>290</v>
      </c>
    </row>
    <row r="17" spans="1:6" ht="37.5" customHeight="1" x14ac:dyDescent="0.3">
      <c r="A17" s="7">
        <v>15</v>
      </c>
      <c r="B17" s="8" t="s">
        <v>291</v>
      </c>
      <c r="C17" s="9" t="s">
        <v>292</v>
      </c>
      <c r="D17" s="9" t="s">
        <v>256</v>
      </c>
      <c r="E17" s="6"/>
      <c r="F17" s="9" t="s">
        <v>293</v>
      </c>
    </row>
    <row r="18" spans="1:6" x14ac:dyDescent="0.3">
      <c r="A18" s="48" t="s">
        <v>294</v>
      </c>
      <c r="B18" s="48"/>
      <c r="C18" s="48"/>
      <c r="D18" s="13" t="s">
        <v>295</v>
      </c>
      <c r="E18" s="49" t="s">
        <v>296</v>
      </c>
      <c r="F18" s="49"/>
    </row>
  </sheetData>
  <mergeCells count="3">
    <mergeCell ref="A1:F1"/>
    <mergeCell ref="A18:C18"/>
    <mergeCell ref="E18:F18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1"/>
  <sheetViews>
    <sheetView zoomScaleNormal="100" workbookViewId="0">
      <pane ySplit="1" topLeftCell="A44" activePane="bottomLeft" state="frozen"/>
      <selection pane="bottomLeft" activeCell="D49" sqref="D49"/>
    </sheetView>
  </sheetViews>
  <sheetFormatPr defaultColWidth="8.6640625" defaultRowHeight="14.4" x14ac:dyDescent="0.3"/>
  <cols>
    <col min="1" max="1" width="12" customWidth="1"/>
    <col min="2" max="2" width="13" customWidth="1"/>
    <col min="3" max="3" width="18" customWidth="1"/>
    <col min="4" max="4" width="16" customWidth="1"/>
    <col min="5" max="5" width="18" customWidth="1"/>
    <col min="6" max="6" width="10" customWidth="1"/>
    <col min="7" max="8" width="14" customWidth="1"/>
    <col min="9" max="9" width="12" customWidth="1"/>
    <col min="10" max="10" width="14" customWidth="1"/>
    <col min="11" max="11" width="10" customWidth="1"/>
    <col min="12" max="12" width="16" customWidth="1"/>
    <col min="13" max="13" width="12" customWidth="1"/>
    <col min="14" max="14" width="13" customWidth="1"/>
  </cols>
  <sheetData>
    <row r="1" spans="1:14" ht="27.75" customHeight="1" x14ac:dyDescent="0.3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297</v>
      </c>
      <c r="I1" s="14" t="s">
        <v>10</v>
      </c>
      <c r="J1" s="14" t="s">
        <v>298</v>
      </c>
      <c r="K1" s="14" t="s">
        <v>7</v>
      </c>
      <c r="L1" s="14" t="s">
        <v>8</v>
      </c>
      <c r="M1" s="14" t="s">
        <v>9</v>
      </c>
      <c r="N1" s="14" t="s">
        <v>11</v>
      </c>
    </row>
    <row r="2" spans="1:14" x14ac:dyDescent="0.3">
      <c r="A2" s="2" t="s">
        <v>299</v>
      </c>
      <c r="B2" s="2" t="s">
        <v>136</v>
      </c>
      <c r="C2" s="2" t="s">
        <v>14</v>
      </c>
      <c r="D2" s="2" t="s">
        <v>55</v>
      </c>
      <c r="E2" s="2" t="s">
        <v>56</v>
      </c>
      <c r="F2" s="2">
        <v>3</v>
      </c>
      <c r="G2" s="15">
        <v>5931.3</v>
      </c>
      <c r="H2" s="15">
        <f t="shared" ref="H2:H33" si="0">F2*G2</f>
        <v>17793.900000000001</v>
      </c>
      <c r="I2" s="16">
        <v>0.2</v>
      </c>
      <c r="J2" s="15">
        <f t="shared" ref="J2:J33" si="1">H2*(1-I2)</f>
        <v>14235.120000000003</v>
      </c>
      <c r="K2" s="2" t="s">
        <v>17</v>
      </c>
      <c r="L2" s="2" t="s">
        <v>42</v>
      </c>
      <c r="M2" s="2" t="s">
        <v>58</v>
      </c>
      <c r="N2" s="2" t="s">
        <v>28</v>
      </c>
    </row>
    <row r="3" spans="1:14" x14ac:dyDescent="0.3">
      <c r="A3" s="3" t="s">
        <v>300</v>
      </c>
      <c r="B3" s="3" t="s">
        <v>301</v>
      </c>
      <c r="C3" s="3" t="s">
        <v>30</v>
      </c>
      <c r="D3" s="3" t="s">
        <v>65</v>
      </c>
      <c r="E3" s="3" t="s">
        <v>101</v>
      </c>
      <c r="F3" s="3">
        <v>1</v>
      </c>
      <c r="G3" s="17">
        <v>4555.7700000000004</v>
      </c>
      <c r="H3" s="17">
        <f t="shared" si="0"/>
        <v>4555.7700000000004</v>
      </c>
      <c r="I3" s="18">
        <v>0.05</v>
      </c>
      <c r="J3" s="17">
        <f t="shared" si="1"/>
        <v>4327.9814999999999</v>
      </c>
      <c r="K3" s="3" t="s">
        <v>17</v>
      </c>
      <c r="L3" s="3" t="s">
        <v>47</v>
      </c>
      <c r="M3" s="3" t="s">
        <v>19</v>
      </c>
      <c r="N3" s="3" t="s">
        <v>28</v>
      </c>
    </row>
    <row r="4" spans="1:14" x14ac:dyDescent="0.3">
      <c r="A4" s="2" t="s">
        <v>302</v>
      </c>
      <c r="B4" s="2" t="s">
        <v>93</v>
      </c>
      <c r="C4" s="2" t="s">
        <v>40</v>
      </c>
      <c r="D4" s="2" t="s">
        <v>24</v>
      </c>
      <c r="E4" s="2" t="s">
        <v>303</v>
      </c>
      <c r="F4" s="2">
        <v>7</v>
      </c>
      <c r="G4" s="15">
        <v>2820.97</v>
      </c>
      <c r="H4" s="15">
        <f t="shared" si="0"/>
        <v>19746.789999999997</v>
      </c>
      <c r="I4" s="16">
        <v>0.1</v>
      </c>
      <c r="J4" s="15">
        <f t="shared" si="1"/>
        <v>17772.110999999997</v>
      </c>
      <c r="K4" s="2" t="s">
        <v>36</v>
      </c>
      <c r="L4" s="2" t="s">
        <v>27</v>
      </c>
      <c r="M4" s="2" t="s">
        <v>78</v>
      </c>
      <c r="N4" s="2" t="s">
        <v>20</v>
      </c>
    </row>
    <row r="5" spans="1:14" x14ac:dyDescent="0.3">
      <c r="A5" s="3" t="s">
        <v>304</v>
      </c>
      <c r="B5" s="3" t="s">
        <v>169</v>
      </c>
      <c r="C5" s="3" t="s">
        <v>137</v>
      </c>
      <c r="D5" s="3" t="s">
        <v>65</v>
      </c>
      <c r="E5" s="3" t="s">
        <v>101</v>
      </c>
      <c r="F5" s="3">
        <v>5</v>
      </c>
      <c r="G5" s="17">
        <v>6485.96</v>
      </c>
      <c r="H5" s="17">
        <f t="shared" si="0"/>
        <v>32429.8</v>
      </c>
      <c r="I5" s="18">
        <v>0</v>
      </c>
      <c r="J5" s="17">
        <f t="shared" si="1"/>
        <v>32429.8</v>
      </c>
      <c r="K5" s="3" t="s">
        <v>26</v>
      </c>
      <c r="L5" s="3" t="s">
        <v>18</v>
      </c>
      <c r="M5" s="3" t="s">
        <v>19</v>
      </c>
      <c r="N5" s="3" t="s">
        <v>28</v>
      </c>
    </row>
    <row r="6" spans="1:14" x14ac:dyDescent="0.3">
      <c r="A6" s="2" t="s">
        <v>305</v>
      </c>
      <c r="B6" s="2" t="s">
        <v>306</v>
      </c>
      <c r="C6" s="2" t="s">
        <v>45</v>
      </c>
      <c r="D6" s="2" t="s">
        <v>65</v>
      </c>
      <c r="E6" s="2" t="s">
        <v>52</v>
      </c>
      <c r="F6" s="2">
        <v>10</v>
      </c>
      <c r="G6" s="15">
        <v>1659.47</v>
      </c>
      <c r="H6" s="15">
        <f t="shared" si="0"/>
        <v>16594.7</v>
      </c>
      <c r="I6" s="16">
        <v>0.05</v>
      </c>
      <c r="J6" s="15">
        <f t="shared" si="1"/>
        <v>15764.965</v>
      </c>
      <c r="K6" s="2" t="s">
        <v>57</v>
      </c>
      <c r="L6" s="2" t="s">
        <v>42</v>
      </c>
      <c r="M6" s="2" t="s">
        <v>78</v>
      </c>
      <c r="N6" s="2" t="s">
        <v>20</v>
      </c>
    </row>
    <row r="7" spans="1:14" x14ac:dyDescent="0.3">
      <c r="A7" s="3" t="s">
        <v>307</v>
      </c>
      <c r="B7" s="3" t="s">
        <v>308</v>
      </c>
      <c r="C7" s="3" t="s">
        <v>113</v>
      </c>
      <c r="D7" s="3" t="s">
        <v>65</v>
      </c>
      <c r="E7" s="3" t="s">
        <v>138</v>
      </c>
      <c r="F7" s="3">
        <v>6</v>
      </c>
      <c r="G7" s="17">
        <v>1426.83</v>
      </c>
      <c r="H7" s="17">
        <f t="shared" si="0"/>
        <v>8560.98</v>
      </c>
      <c r="I7" s="18">
        <v>0.1</v>
      </c>
      <c r="J7" s="17">
        <f t="shared" si="1"/>
        <v>7704.8819999999996</v>
      </c>
      <c r="K7" s="3" t="s">
        <v>90</v>
      </c>
      <c r="L7" s="3" t="s">
        <v>27</v>
      </c>
      <c r="M7" s="3" t="s">
        <v>19</v>
      </c>
      <c r="N7" s="3" t="s">
        <v>20</v>
      </c>
    </row>
    <row r="8" spans="1:14" x14ac:dyDescent="0.3">
      <c r="A8" s="2" t="s">
        <v>309</v>
      </c>
      <c r="B8" s="2" t="s">
        <v>310</v>
      </c>
      <c r="C8" s="2" t="s">
        <v>14</v>
      </c>
      <c r="D8" s="2" t="s">
        <v>24</v>
      </c>
      <c r="E8" s="2" t="s">
        <v>303</v>
      </c>
      <c r="F8" s="2">
        <v>8</v>
      </c>
      <c r="G8" s="15">
        <v>3128.73</v>
      </c>
      <c r="H8" s="15">
        <f t="shared" si="0"/>
        <v>25029.84</v>
      </c>
      <c r="I8" s="16">
        <v>0.1</v>
      </c>
      <c r="J8" s="15">
        <f t="shared" si="1"/>
        <v>22526.856</v>
      </c>
      <c r="K8" s="2" t="s">
        <v>17</v>
      </c>
      <c r="L8" s="2" t="s">
        <v>27</v>
      </c>
      <c r="M8" s="2" t="s">
        <v>19</v>
      </c>
      <c r="N8" s="2" t="s">
        <v>20</v>
      </c>
    </row>
    <row r="9" spans="1:14" x14ac:dyDescent="0.3">
      <c r="A9" s="3" t="s">
        <v>311</v>
      </c>
      <c r="B9" s="3" t="s">
        <v>312</v>
      </c>
      <c r="C9" s="3" t="s">
        <v>113</v>
      </c>
      <c r="D9" s="3" t="s">
        <v>31</v>
      </c>
      <c r="E9" s="3" t="s">
        <v>177</v>
      </c>
      <c r="F9" s="3">
        <v>4</v>
      </c>
      <c r="G9" s="17">
        <v>7318.12</v>
      </c>
      <c r="H9" s="17">
        <f t="shared" si="0"/>
        <v>29272.48</v>
      </c>
      <c r="I9" s="18">
        <v>0.05</v>
      </c>
      <c r="J9" s="17">
        <f t="shared" si="1"/>
        <v>27808.856</v>
      </c>
      <c r="K9" s="3" t="s">
        <v>17</v>
      </c>
      <c r="L9" s="3" t="s">
        <v>37</v>
      </c>
      <c r="M9" s="3" t="s">
        <v>19</v>
      </c>
      <c r="N9" s="3" t="s">
        <v>28</v>
      </c>
    </row>
    <row r="10" spans="1:14" x14ac:dyDescent="0.3">
      <c r="A10" s="2" t="s">
        <v>313</v>
      </c>
      <c r="B10" s="2" t="s">
        <v>212</v>
      </c>
      <c r="C10" s="2" t="s">
        <v>61</v>
      </c>
      <c r="D10" s="2" t="s">
        <v>81</v>
      </c>
      <c r="E10" s="2" t="s">
        <v>104</v>
      </c>
      <c r="F10" s="2">
        <v>9</v>
      </c>
      <c r="G10" s="15">
        <v>4380.97</v>
      </c>
      <c r="H10" s="15">
        <f t="shared" si="0"/>
        <v>39428.730000000003</v>
      </c>
      <c r="I10" s="16">
        <v>0.2</v>
      </c>
      <c r="J10" s="15">
        <f t="shared" si="1"/>
        <v>31542.984000000004</v>
      </c>
      <c r="K10" s="2" t="s">
        <v>17</v>
      </c>
      <c r="L10" s="2" t="s">
        <v>47</v>
      </c>
      <c r="M10" s="2" t="s">
        <v>19</v>
      </c>
      <c r="N10" s="2" t="s">
        <v>28</v>
      </c>
    </row>
    <row r="11" spans="1:14" x14ac:dyDescent="0.3">
      <c r="A11" s="3" t="s">
        <v>314</v>
      </c>
      <c r="B11" s="3" t="s">
        <v>315</v>
      </c>
      <c r="C11" s="3" t="s">
        <v>130</v>
      </c>
      <c r="D11" s="3" t="s">
        <v>72</v>
      </c>
      <c r="E11" s="3" t="s">
        <v>182</v>
      </c>
      <c r="F11" s="3">
        <v>2</v>
      </c>
      <c r="G11" s="17">
        <v>1349.8</v>
      </c>
      <c r="H11" s="17">
        <f t="shared" si="0"/>
        <v>2699.6</v>
      </c>
      <c r="I11" s="18">
        <v>0.2</v>
      </c>
      <c r="J11" s="17">
        <f t="shared" si="1"/>
        <v>2159.6799999999998</v>
      </c>
      <c r="K11" s="3" t="s">
        <v>36</v>
      </c>
      <c r="L11" s="3" t="s">
        <v>47</v>
      </c>
      <c r="M11" s="3" t="s">
        <v>19</v>
      </c>
      <c r="N11" s="3" t="s">
        <v>20</v>
      </c>
    </row>
    <row r="12" spans="1:14" x14ac:dyDescent="0.3">
      <c r="A12" s="2" t="s">
        <v>316</v>
      </c>
      <c r="B12" s="2" t="s">
        <v>317</v>
      </c>
      <c r="C12" s="2" t="s">
        <v>30</v>
      </c>
      <c r="D12" s="2" t="s">
        <v>81</v>
      </c>
      <c r="E12" s="2" t="s">
        <v>318</v>
      </c>
      <c r="F12" s="2">
        <v>9</v>
      </c>
      <c r="G12" s="15">
        <v>6907.12</v>
      </c>
      <c r="H12" s="15">
        <f t="shared" si="0"/>
        <v>62164.08</v>
      </c>
      <c r="I12" s="16">
        <v>0.2</v>
      </c>
      <c r="J12" s="15">
        <f t="shared" si="1"/>
        <v>49731.264000000003</v>
      </c>
      <c r="K12" s="2" t="s">
        <v>57</v>
      </c>
      <c r="L12" s="2" t="s">
        <v>42</v>
      </c>
      <c r="M12" s="2" t="s">
        <v>91</v>
      </c>
      <c r="N12" s="2" t="s">
        <v>28</v>
      </c>
    </row>
    <row r="13" spans="1:14" x14ac:dyDescent="0.3">
      <c r="A13" s="3" t="s">
        <v>319</v>
      </c>
      <c r="B13" s="3" t="s">
        <v>320</v>
      </c>
      <c r="C13" s="3" t="s">
        <v>130</v>
      </c>
      <c r="D13" s="3" t="s">
        <v>15</v>
      </c>
      <c r="E13" s="3" t="s">
        <v>85</v>
      </c>
      <c r="F13" s="3">
        <v>7</v>
      </c>
      <c r="G13" s="17">
        <v>1391.54</v>
      </c>
      <c r="H13" s="17">
        <f t="shared" si="0"/>
        <v>9740.7799999999988</v>
      </c>
      <c r="I13" s="18">
        <v>0.2</v>
      </c>
      <c r="J13" s="17">
        <f t="shared" si="1"/>
        <v>7792.6239999999998</v>
      </c>
      <c r="K13" s="3" t="s">
        <v>57</v>
      </c>
      <c r="L13" s="3" t="s">
        <v>37</v>
      </c>
      <c r="M13" s="3" t="s">
        <v>58</v>
      </c>
      <c r="N13" s="3" t="s">
        <v>20</v>
      </c>
    </row>
    <row r="14" spans="1:14" x14ac:dyDescent="0.3">
      <c r="A14" s="2" t="s">
        <v>321</v>
      </c>
      <c r="B14" s="2" t="s">
        <v>322</v>
      </c>
      <c r="C14" s="2" t="s">
        <v>23</v>
      </c>
      <c r="D14" s="2" t="s">
        <v>24</v>
      </c>
      <c r="E14" s="2" t="s">
        <v>41</v>
      </c>
      <c r="F14" s="2">
        <v>10</v>
      </c>
      <c r="G14" s="15">
        <v>1711.45</v>
      </c>
      <c r="H14" s="15">
        <f t="shared" si="0"/>
        <v>17114.5</v>
      </c>
      <c r="I14" s="16">
        <v>0.2</v>
      </c>
      <c r="J14" s="15">
        <f t="shared" si="1"/>
        <v>13691.6</v>
      </c>
      <c r="K14" s="2" t="s">
        <v>90</v>
      </c>
      <c r="L14" s="2" t="s">
        <v>27</v>
      </c>
      <c r="M14" s="2" t="s">
        <v>58</v>
      </c>
      <c r="N14" s="2" t="s">
        <v>20</v>
      </c>
    </row>
    <row r="15" spans="1:14" x14ac:dyDescent="0.3">
      <c r="A15" s="3" t="s">
        <v>323</v>
      </c>
      <c r="B15" s="3" t="s">
        <v>118</v>
      </c>
      <c r="C15" s="3" t="s">
        <v>88</v>
      </c>
      <c r="D15" s="3" t="s">
        <v>24</v>
      </c>
      <c r="E15" s="3" t="s">
        <v>25</v>
      </c>
      <c r="F15" s="3">
        <v>5</v>
      </c>
      <c r="G15" s="17">
        <v>2029.7</v>
      </c>
      <c r="H15" s="17">
        <f t="shared" si="0"/>
        <v>10148.5</v>
      </c>
      <c r="I15" s="18">
        <v>0</v>
      </c>
      <c r="J15" s="17">
        <f t="shared" si="1"/>
        <v>10148.5</v>
      </c>
      <c r="K15" s="3" t="s">
        <v>36</v>
      </c>
      <c r="L15" s="3" t="s">
        <v>18</v>
      </c>
      <c r="M15" s="3" t="s">
        <v>19</v>
      </c>
      <c r="N15" s="3" t="s">
        <v>20</v>
      </c>
    </row>
    <row r="16" spans="1:14" x14ac:dyDescent="0.3">
      <c r="A16" s="2" t="s">
        <v>324</v>
      </c>
      <c r="B16" s="2" t="s">
        <v>39</v>
      </c>
      <c r="C16" s="2" t="s">
        <v>40</v>
      </c>
      <c r="D16" s="2" t="s">
        <v>55</v>
      </c>
      <c r="E16" s="2" t="s">
        <v>325</v>
      </c>
      <c r="F16" s="2">
        <v>3</v>
      </c>
      <c r="G16" s="15">
        <v>1157.8699999999999</v>
      </c>
      <c r="H16" s="15">
        <f t="shared" si="0"/>
        <v>3473.6099999999997</v>
      </c>
      <c r="I16" s="16">
        <v>0.05</v>
      </c>
      <c r="J16" s="15">
        <f t="shared" si="1"/>
        <v>3299.9294999999997</v>
      </c>
      <c r="K16" s="2" t="s">
        <v>26</v>
      </c>
      <c r="L16" s="2" t="s">
        <v>18</v>
      </c>
      <c r="M16" s="2" t="s">
        <v>19</v>
      </c>
      <c r="N16" s="2" t="s">
        <v>20</v>
      </c>
    </row>
    <row r="17" spans="1:14" x14ac:dyDescent="0.3">
      <c r="A17" s="3" t="s">
        <v>326</v>
      </c>
      <c r="B17" s="3" t="s">
        <v>327</v>
      </c>
      <c r="C17" s="3" t="s">
        <v>88</v>
      </c>
      <c r="D17" s="3" t="s">
        <v>24</v>
      </c>
      <c r="E17" s="3" t="s">
        <v>41</v>
      </c>
      <c r="F17" s="3">
        <v>4</v>
      </c>
      <c r="G17" s="17">
        <v>5746.65</v>
      </c>
      <c r="H17" s="17">
        <f t="shared" si="0"/>
        <v>22986.6</v>
      </c>
      <c r="I17" s="18">
        <v>0.15</v>
      </c>
      <c r="J17" s="17">
        <f t="shared" si="1"/>
        <v>19538.609999999997</v>
      </c>
      <c r="K17" s="3" t="s">
        <v>26</v>
      </c>
      <c r="L17" s="3" t="s">
        <v>37</v>
      </c>
      <c r="M17" s="3" t="s">
        <v>91</v>
      </c>
      <c r="N17" s="3" t="s">
        <v>28</v>
      </c>
    </row>
    <row r="18" spans="1:14" x14ac:dyDescent="0.3">
      <c r="A18" s="2" t="s">
        <v>328</v>
      </c>
      <c r="B18" s="2" t="s">
        <v>169</v>
      </c>
      <c r="C18" s="2" t="s">
        <v>130</v>
      </c>
      <c r="D18" s="2" t="s">
        <v>24</v>
      </c>
      <c r="E18" s="2" t="s">
        <v>25</v>
      </c>
      <c r="F18" s="2">
        <v>1</v>
      </c>
      <c r="G18" s="15">
        <v>4768.22</v>
      </c>
      <c r="H18" s="15">
        <f t="shared" si="0"/>
        <v>4768.22</v>
      </c>
      <c r="I18" s="16">
        <v>0.05</v>
      </c>
      <c r="J18" s="15">
        <f t="shared" si="1"/>
        <v>4529.8090000000002</v>
      </c>
      <c r="K18" s="2" t="s">
        <v>36</v>
      </c>
      <c r="L18" s="2" t="s">
        <v>18</v>
      </c>
      <c r="M18" s="2" t="s">
        <v>19</v>
      </c>
      <c r="N18" s="2" t="s">
        <v>20</v>
      </c>
    </row>
    <row r="19" spans="1:14" x14ac:dyDescent="0.3">
      <c r="A19" s="3" t="s">
        <v>329</v>
      </c>
      <c r="B19" s="3" t="s">
        <v>330</v>
      </c>
      <c r="C19" s="3" t="s">
        <v>130</v>
      </c>
      <c r="D19" s="3" t="s">
        <v>65</v>
      </c>
      <c r="E19" s="3" t="s">
        <v>66</v>
      </c>
      <c r="F19" s="3">
        <v>6</v>
      </c>
      <c r="G19" s="17">
        <v>706.23</v>
      </c>
      <c r="H19" s="17">
        <f t="shared" si="0"/>
        <v>4237.38</v>
      </c>
      <c r="I19" s="18">
        <v>0.15</v>
      </c>
      <c r="J19" s="17">
        <f t="shared" si="1"/>
        <v>3601.7730000000001</v>
      </c>
      <c r="K19" s="3" t="s">
        <v>36</v>
      </c>
      <c r="L19" s="3" t="s">
        <v>37</v>
      </c>
      <c r="M19" s="3" t="s">
        <v>19</v>
      </c>
      <c r="N19" s="3" t="s">
        <v>20</v>
      </c>
    </row>
    <row r="20" spans="1:14" x14ac:dyDescent="0.3">
      <c r="A20" s="2" t="s">
        <v>331</v>
      </c>
      <c r="B20" s="2" t="s">
        <v>332</v>
      </c>
      <c r="C20" s="2" t="s">
        <v>45</v>
      </c>
      <c r="D20" s="2" t="s">
        <v>24</v>
      </c>
      <c r="E20" s="2" t="s">
        <v>41</v>
      </c>
      <c r="F20" s="2">
        <v>8</v>
      </c>
      <c r="G20" s="15">
        <v>2057.5300000000002</v>
      </c>
      <c r="H20" s="15">
        <f t="shared" si="0"/>
        <v>16460.240000000002</v>
      </c>
      <c r="I20" s="16">
        <v>0.05</v>
      </c>
      <c r="J20" s="15">
        <f t="shared" si="1"/>
        <v>15637.228000000001</v>
      </c>
      <c r="K20" s="2" t="s">
        <v>26</v>
      </c>
      <c r="L20" s="2" t="s">
        <v>47</v>
      </c>
      <c r="M20" s="2" t="s">
        <v>78</v>
      </c>
      <c r="N20" s="2" t="s">
        <v>20</v>
      </c>
    </row>
    <row r="21" spans="1:14" x14ac:dyDescent="0.3">
      <c r="A21" s="3" t="s">
        <v>333</v>
      </c>
      <c r="B21" s="3" t="s">
        <v>134</v>
      </c>
      <c r="C21" s="3" t="s">
        <v>124</v>
      </c>
      <c r="D21" s="3" t="s">
        <v>65</v>
      </c>
      <c r="E21" s="3" t="s">
        <v>138</v>
      </c>
      <c r="F21" s="3">
        <v>1</v>
      </c>
      <c r="G21" s="17">
        <v>5435.91</v>
      </c>
      <c r="H21" s="17">
        <f t="shared" si="0"/>
        <v>5435.91</v>
      </c>
      <c r="I21" s="18">
        <v>0.15</v>
      </c>
      <c r="J21" s="17">
        <f t="shared" si="1"/>
        <v>4620.5234999999993</v>
      </c>
      <c r="K21" s="3" t="s">
        <v>57</v>
      </c>
      <c r="L21" s="3" t="s">
        <v>42</v>
      </c>
      <c r="M21" s="3" t="s">
        <v>19</v>
      </c>
      <c r="N21" s="3" t="s">
        <v>20</v>
      </c>
    </row>
    <row r="22" spans="1:14" x14ac:dyDescent="0.3">
      <c r="A22" s="2" t="s">
        <v>334</v>
      </c>
      <c r="B22" s="2" t="s">
        <v>335</v>
      </c>
      <c r="C22" s="2" t="s">
        <v>30</v>
      </c>
      <c r="D22" s="2" t="s">
        <v>15</v>
      </c>
      <c r="E22" s="2" t="s">
        <v>173</v>
      </c>
      <c r="F22" s="2">
        <v>3</v>
      </c>
      <c r="G22" s="15">
        <v>3461.77</v>
      </c>
      <c r="H22" s="15">
        <f t="shared" si="0"/>
        <v>10385.31</v>
      </c>
      <c r="I22" s="16">
        <v>0.05</v>
      </c>
      <c r="J22" s="15">
        <f t="shared" si="1"/>
        <v>9866.0444999999982</v>
      </c>
      <c r="K22" s="2" t="s">
        <v>90</v>
      </c>
      <c r="L22" s="2" t="s">
        <v>47</v>
      </c>
      <c r="M22" s="2" t="s">
        <v>19</v>
      </c>
      <c r="N22" s="2" t="s">
        <v>20</v>
      </c>
    </row>
    <row r="23" spans="1:14" x14ac:dyDescent="0.3">
      <c r="A23" s="3" t="s">
        <v>336</v>
      </c>
      <c r="B23" s="3" t="s">
        <v>337</v>
      </c>
      <c r="C23" s="3" t="s">
        <v>30</v>
      </c>
      <c r="D23" s="3" t="s">
        <v>81</v>
      </c>
      <c r="E23" s="3" t="s">
        <v>154</v>
      </c>
      <c r="F23" s="3">
        <v>2</v>
      </c>
      <c r="G23" s="17">
        <v>7421.98</v>
      </c>
      <c r="H23" s="17">
        <f t="shared" si="0"/>
        <v>14843.96</v>
      </c>
      <c r="I23" s="18">
        <v>0.15</v>
      </c>
      <c r="J23" s="17">
        <f t="shared" si="1"/>
        <v>12617.365999999998</v>
      </c>
      <c r="K23" s="3" t="s">
        <v>36</v>
      </c>
      <c r="L23" s="3" t="s">
        <v>27</v>
      </c>
      <c r="M23" s="3" t="s">
        <v>19</v>
      </c>
      <c r="N23" s="3" t="s">
        <v>28</v>
      </c>
    </row>
    <row r="24" spans="1:14" x14ac:dyDescent="0.3">
      <c r="A24" s="2" t="s">
        <v>338</v>
      </c>
      <c r="B24" s="2" t="s">
        <v>308</v>
      </c>
      <c r="C24" s="2" t="s">
        <v>50</v>
      </c>
      <c r="D24" s="2" t="s">
        <v>81</v>
      </c>
      <c r="E24" s="2" t="s">
        <v>104</v>
      </c>
      <c r="F24" s="2">
        <v>7</v>
      </c>
      <c r="G24" s="15">
        <v>166.92</v>
      </c>
      <c r="H24" s="15">
        <f t="shared" si="0"/>
        <v>1168.4399999999998</v>
      </c>
      <c r="I24" s="16">
        <v>0.15</v>
      </c>
      <c r="J24" s="15">
        <f t="shared" si="1"/>
        <v>993.17399999999986</v>
      </c>
      <c r="K24" s="2" t="s">
        <v>26</v>
      </c>
      <c r="L24" s="2" t="s">
        <v>37</v>
      </c>
      <c r="M24" s="2" t="s">
        <v>19</v>
      </c>
      <c r="N24" s="2" t="s">
        <v>20</v>
      </c>
    </row>
    <row r="25" spans="1:14" x14ac:dyDescent="0.3">
      <c r="A25" s="3" t="s">
        <v>339</v>
      </c>
      <c r="B25" s="3" t="s">
        <v>68</v>
      </c>
      <c r="C25" s="3" t="s">
        <v>30</v>
      </c>
      <c r="D25" s="3" t="s">
        <v>81</v>
      </c>
      <c r="E25" s="3" t="s">
        <v>82</v>
      </c>
      <c r="F25" s="3">
        <v>3</v>
      </c>
      <c r="G25" s="17">
        <v>1640.7</v>
      </c>
      <c r="H25" s="17">
        <f t="shared" si="0"/>
        <v>4922.1000000000004</v>
      </c>
      <c r="I25" s="18">
        <v>0.2</v>
      </c>
      <c r="J25" s="17">
        <f t="shared" si="1"/>
        <v>3937.6800000000003</v>
      </c>
      <c r="K25" s="3" t="s">
        <v>36</v>
      </c>
      <c r="L25" s="3" t="s">
        <v>42</v>
      </c>
      <c r="M25" s="3" t="s">
        <v>91</v>
      </c>
      <c r="N25" s="3" t="s">
        <v>28</v>
      </c>
    </row>
    <row r="26" spans="1:14" x14ac:dyDescent="0.3">
      <c r="A26" s="2" t="s">
        <v>340</v>
      </c>
      <c r="B26" s="2" t="s">
        <v>341</v>
      </c>
      <c r="C26" s="2" t="s">
        <v>50</v>
      </c>
      <c r="D26" s="2" t="s">
        <v>55</v>
      </c>
      <c r="E26" s="2" t="s">
        <v>151</v>
      </c>
      <c r="F26" s="2">
        <v>10</v>
      </c>
      <c r="G26" s="15">
        <v>3892.79</v>
      </c>
      <c r="H26" s="15">
        <f t="shared" si="0"/>
        <v>38927.9</v>
      </c>
      <c r="I26" s="16">
        <v>0</v>
      </c>
      <c r="J26" s="15">
        <f t="shared" si="1"/>
        <v>38927.9</v>
      </c>
      <c r="K26" s="2" t="s">
        <v>17</v>
      </c>
      <c r="L26" s="2" t="s">
        <v>27</v>
      </c>
      <c r="M26" s="2" t="s">
        <v>58</v>
      </c>
      <c r="N26" s="2" t="s">
        <v>20</v>
      </c>
    </row>
    <row r="27" spans="1:14" x14ac:dyDescent="0.3">
      <c r="A27" s="3" t="s">
        <v>342</v>
      </c>
      <c r="B27" s="3" t="s">
        <v>343</v>
      </c>
      <c r="C27" s="3" t="s">
        <v>127</v>
      </c>
      <c r="D27" s="3" t="s">
        <v>15</v>
      </c>
      <c r="E27" s="3" t="s">
        <v>98</v>
      </c>
      <c r="F27" s="3">
        <v>7</v>
      </c>
      <c r="G27" s="17">
        <v>1091.1099999999999</v>
      </c>
      <c r="H27" s="17">
        <f t="shared" si="0"/>
        <v>7637.7699999999995</v>
      </c>
      <c r="I27" s="18">
        <v>0.2</v>
      </c>
      <c r="J27" s="17">
        <f t="shared" si="1"/>
        <v>6110.2160000000003</v>
      </c>
      <c r="K27" s="3" t="s">
        <v>17</v>
      </c>
      <c r="L27" s="3" t="s">
        <v>27</v>
      </c>
      <c r="M27" s="3" t="s">
        <v>19</v>
      </c>
      <c r="N27" s="3" t="s">
        <v>20</v>
      </c>
    </row>
    <row r="28" spans="1:14" x14ac:dyDescent="0.3">
      <c r="A28" s="2" t="s">
        <v>344</v>
      </c>
      <c r="B28" s="2" t="s">
        <v>345</v>
      </c>
      <c r="C28" s="2" t="s">
        <v>45</v>
      </c>
      <c r="D28" s="2" t="s">
        <v>24</v>
      </c>
      <c r="E28" s="2" t="s">
        <v>41</v>
      </c>
      <c r="F28" s="2">
        <v>6</v>
      </c>
      <c r="G28" s="15">
        <v>7487.44</v>
      </c>
      <c r="H28" s="15">
        <f t="shared" si="0"/>
        <v>44924.639999999999</v>
      </c>
      <c r="I28" s="16">
        <v>0.05</v>
      </c>
      <c r="J28" s="15">
        <f t="shared" si="1"/>
        <v>42678.407999999996</v>
      </c>
      <c r="K28" s="2" t="s">
        <v>36</v>
      </c>
      <c r="L28" s="2" t="s">
        <v>37</v>
      </c>
      <c r="M28" s="2" t="s">
        <v>58</v>
      </c>
      <c r="N28" s="2" t="s">
        <v>20</v>
      </c>
    </row>
    <row r="29" spans="1:14" x14ac:dyDescent="0.3">
      <c r="A29" s="3" t="s">
        <v>346</v>
      </c>
      <c r="B29" s="3" t="s">
        <v>347</v>
      </c>
      <c r="C29" s="3" t="s">
        <v>69</v>
      </c>
      <c r="D29" s="3" t="s">
        <v>81</v>
      </c>
      <c r="E29" s="3" t="s">
        <v>318</v>
      </c>
      <c r="F29" s="3">
        <v>2</v>
      </c>
      <c r="G29" s="17">
        <v>223.13</v>
      </c>
      <c r="H29" s="17">
        <f t="shared" si="0"/>
        <v>446.26</v>
      </c>
      <c r="I29" s="18">
        <v>0</v>
      </c>
      <c r="J29" s="17">
        <f t="shared" si="1"/>
        <v>446.26</v>
      </c>
      <c r="K29" s="3" t="s">
        <v>17</v>
      </c>
      <c r="L29" s="3" t="s">
        <v>18</v>
      </c>
      <c r="M29" s="3" t="s">
        <v>58</v>
      </c>
      <c r="N29" s="3" t="s">
        <v>20</v>
      </c>
    </row>
    <row r="30" spans="1:14" x14ac:dyDescent="0.3">
      <c r="A30" s="2" t="s">
        <v>348</v>
      </c>
      <c r="B30" s="2" t="s">
        <v>179</v>
      </c>
      <c r="C30" s="2" t="s">
        <v>88</v>
      </c>
      <c r="D30" s="2" t="s">
        <v>24</v>
      </c>
      <c r="E30" s="2" t="s">
        <v>25</v>
      </c>
      <c r="F30" s="2">
        <v>2</v>
      </c>
      <c r="G30" s="15">
        <v>7052.27</v>
      </c>
      <c r="H30" s="15">
        <f t="shared" si="0"/>
        <v>14104.54</v>
      </c>
      <c r="I30" s="16">
        <v>0.05</v>
      </c>
      <c r="J30" s="15">
        <f t="shared" si="1"/>
        <v>13399.313</v>
      </c>
      <c r="K30" s="2" t="s">
        <v>90</v>
      </c>
      <c r="L30" s="2" t="s">
        <v>37</v>
      </c>
      <c r="M30" s="2" t="s">
        <v>19</v>
      </c>
      <c r="N30" s="2" t="s">
        <v>28</v>
      </c>
    </row>
    <row r="31" spans="1:14" x14ac:dyDescent="0.3">
      <c r="A31" s="3" t="s">
        <v>349</v>
      </c>
      <c r="B31" s="3" t="s">
        <v>350</v>
      </c>
      <c r="C31" s="3" t="s">
        <v>40</v>
      </c>
      <c r="D31" s="3" t="s">
        <v>15</v>
      </c>
      <c r="E31" s="3" t="s">
        <v>35</v>
      </c>
      <c r="F31" s="3">
        <v>1</v>
      </c>
      <c r="G31" s="17">
        <v>5392.73</v>
      </c>
      <c r="H31" s="17">
        <f t="shared" si="0"/>
        <v>5392.73</v>
      </c>
      <c r="I31" s="18">
        <v>0</v>
      </c>
      <c r="J31" s="17">
        <f t="shared" si="1"/>
        <v>5392.73</v>
      </c>
      <c r="K31" s="3" t="s">
        <v>17</v>
      </c>
      <c r="L31" s="3" t="s">
        <v>37</v>
      </c>
      <c r="M31" s="3" t="s">
        <v>19</v>
      </c>
      <c r="N31" s="3" t="s">
        <v>20</v>
      </c>
    </row>
    <row r="32" spans="1:14" x14ac:dyDescent="0.3">
      <c r="A32" s="2" t="s">
        <v>351</v>
      </c>
      <c r="B32" s="2" t="s">
        <v>103</v>
      </c>
      <c r="C32" s="2" t="s">
        <v>61</v>
      </c>
      <c r="D32" s="2" t="s">
        <v>72</v>
      </c>
      <c r="E32" s="2" t="s">
        <v>195</v>
      </c>
      <c r="F32" s="2">
        <v>5</v>
      </c>
      <c r="G32" s="15">
        <v>4897.91</v>
      </c>
      <c r="H32" s="15">
        <f t="shared" si="0"/>
        <v>24489.55</v>
      </c>
      <c r="I32" s="16">
        <v>0.1</v>
      </c>
      <c r="J32" s="15">
        <f t="shared" si="1"/>
        <v>22040.595000000001</v>
      </c>
      <c r="K32" s="2" t="s">
        <v>90</v>
      </c>
      <c r="L32" s="2" t="s">
        <v>27</v>
      </c>
      <c r="M32" s="2" t="s">
        <v>58</v>
      </c>
      <c r="N32" s="2" t="s">
        <v>28</v>
      </c>
    </row>
    <row r="33" spans="1:14" x14ac:dyDescent="0.3">
      <c r="A33" s="3" t="s">
        <v>352</v>
      </c>
      <c r="B33" s="3" t="s">
        <v>301</v>
      </c>
      <c r="C33" s="3" t="s">
        <v>23</v>
      </c>
      <c r="D33" s="3" t="s">
        <v>72</v>
      </c>
      <c r="E33" s="3" t="s">
        <v>195</v>
      </c>
      <c r="F33" s="3">
        <v>1</v>
      </c>
      <c r="G33" s="17">
        <v>177.83</v>
      </c>
      <c r="H33" s="17">
        <f t="shared" si="0"/>
        <v>177.83</v>
      </c>
      <c r="I33" s="18">
        <v>0.05</v>
      </c>
      <c r="J33" s="17">
        <f t="shared" si="1"/>
        <v>168.9385</v>
      </c>
      <c r="K33" s="3" t="s">
        <v>36</v>
      </c>
      <c r="L33" s="3" t="s">
        <v>37</v>
      </c>
      <c r="M33" s="3" t="s">
        <v>58</v>
      </c>
      <c r="N33" s="3" t="s">
        <v>28</v>
      </c>
    </row>
    <row r="34" spans="1:14" x14ac:dyDescent="0.3">
      <c r="A34" s="2" t="s">
        <v>353</v>
      </c>
      <c r="B34" s="2" t="s">
        <v>134</v>
      </c>
      <c r="C34" s="2" t="s">
        <v>130</v>
      </c>
      <c r="D34" s="2" t="s">
        <v>24</v>
      </c>
      <c r="E34" s="2" t="s">
        <v>62</v>
      </c>
      <c r="F34" s="2">
        <v>3</v>
      </c>
      <c r="G34" s="15">
        <v>4432.88</v>
      </c>
      <c r="H34" s="15">
        <f t="shared" ref="H34:H65" si="2">F34*G34</f>
        <v>13298.64</v>
      </c>
      <c r="I34" s="16">
        <v>0.2</v>
      </c>
      <c r="J34" s="15">
        <f t="shared" ref="J34:J65" si="3">H34*(1-I34)</f>
        <v>10638.912</v>
      </c>
      <c r="K34" s="2" t="s">
        <v>90</v>
      </c>
      <c r="L34" s="2" t="s">
        <v>18</v>
      </c>
      <c r="M34" s="2" t="s">
        <v>19</v>
      </c>
      <c r="N34" s="2" t="s">
        <v>20</v>
      </c>
    </row>
    <row r="35" spans="1:14" x14ac:dyDescent="0.3">
      <c r="A35" s="3" t="s">
        <v>354</v>
      </c>
      <c r="B35" s="3" t="s">
        <v>355</v>
      </c>
      <c r="C35" s="3" t="s">
        <v>88</v>
      </c>
      <c r="D35" s="3" t="s">
        <v>81</v>
      </c>
      <c r="E35" s="3" t="s">
        <v>154</v>
      </c>
      <c r="F35" s="3">
        <v>6</v>
      </c>
      <c r="G35" s="17">
        <v>1799.1</v>
      </c>
      <c r="H35" s="17">
        <f t="shared" si="2"/>
        <v>10794.599999999999</v>
      </c>
      <c r="I35" s="18">
        <v>0.1</v>
      </c>
      <c r="J35" s="17">
        <f t="shared" si="3"/>
        <v>9715.14</v>
      </c>
      <c r="K35" s="3" t="s">
        <v>36</v>
      </c>
      <c r="L35" s="3" t="s">
        <v>42</v>
      </c>
      <c r="M35" s="3" t="s">
        <v>19</v>
      </c>
      <c r="N35" s="3" t="s">
        <v>28</v>
      </c>
    </row>
    <row r="36" spans="1:14" x14ac:dyDescent="0.3">
      <c r="A36" s="2" t="s">
        <v>356</v>
      </c>
      <c r="B36" s="2" t="s">
        <v>231</v>
      </c>
      <c r="C36" s="2" t="s">
        <v>14</v>
      </c>
      <c r="D36" s="2" t="s">
        <v>24</v>
      </c>
      <c r="E36" s="2" t="s">
        <v>303</v>
      </c>
      <c r="F36" s="2">
        <v>3</v>
      </c>
      <c r="G36" s="15">
        <v>7069.12</v>
      </c>
      <c r="H36" s="15">
        <f t="shared" si="2"/>
        <v>21207.360000000001</v>
      </c>
      <c r="I36" s="16">
        <v>0.1</v>
      </c>
      <c r="J36" s="15">
        <f t="shared" si="3"/>
        <v>19086.624</v>
      </c>
      <c r="K36" s="2" t="s">
        <v>57</v>
      </c>
      <c r="L36" s="2" t="s">
        <v>27</v>
      </c>
      <c r="M36" s="2" t="s">
        <v>78</v>
      </c>
      <c r="N36" s="2" t="s">
        <v>28</v>
      </c>
    </row>
    <row r="37" spans="1:14" x14ac:dyDescent="0.3">
      <c r="A37" s="3" t="s">
        <v>357</v>
      </c>
      <c r="B37" s="3" t="s">
        <v>188</v>
      </c>
      <c r="C37" s="3" t="s">
        <v>14</v>
      </c>
      <c r="D37" s="3" t="s">
        <v>15</v>
      </c>
      <c r="E37" s="3" t="s">
        <v>85</v>
      </c>
      <c r="F37" s="3">
        <v>3</v>
      </c>
      <c r="G37" s="17">
        <v>6330.89</v>
      </c>
      <c r="H37" s="17">
        <f t="shared" si="2"/>
        <v>18992.670000000002</v>
      </c>
      <c r="I37" s="18">
        <v>0</v>
      </c>
      <c r="J37" s="17">
        <f t="shared" si="3"/>
        <v>18992.670000000002</v>
      </c>
      <c r="K37" s="3" t="s">
        <v>57</v>
      </c>
      <c r="L37" s="3" t="s">
        <v>47</v>
      </c>
      <c r="M37" s="3" t="s">
        <v>58</v>
      </c>
      <c r="N37" s="3" t="s">
        <v>28</v>
      </c>
    </row>
    <row r="38" spans="1:14" x14ac:dyDescent="0.3">
      <c r="A38" s="2" t="s">
        <v>358</v>
      </c>
      <c r="B38" s="2" t="s">
        <v>359</v>
      </c>
      <c r="C38" s="2" t="s">
        <v>137</v>
      </c>
      <c r="D38" s="2" t="s">
        <v>31</v>
      </c>
      <c r="E38" s="2" t="s">
        <v>32</v>
      </c>
      <c r="F38" s="2">
        <v>4</v>
      </c>
      <c r="G38" s="15">
        <v>1899.95</v>
      </c>
      <c r="H38" s="15">
        <f t="shared" si="2"/>
        <v>7599.8</v>
      </c>
      <c r="I38" s="16">
        <v>0.1</v>
      </c>
      <c r="J38" s="15">
        <f t="shared" si="3"/>
        <v>6839.8200000000006</v>
      </c>
      <c r="K38" s="2" t="s">
        <v>36</v>
      </c>
      <c r="L38" s="2" t="s">
        <v>47</v>
      </c>
      <c r="M38" s="2" t="s">
        <v>78</v>
      </c>
      <c r="N38" s="2" t="s">
        <v>20</v>
      </c>
    </row>
    <row r="39" spans="1:14" x14ac:dyDescent="0.3">
      <c r="A39" s="3" t="s">
        <v>360</v>
      </c>
      <c r="B39" s="3" t="s">
        <v>361</v>
      </c>
      <c r="C39" s="3" t="s">
        <v>127</v>
      </c>
      <c r="D39" s="3" t="s">
        <v>15</v>
      </c>
      <c r="E39" s="3" t="s">
        <v>35</v>
      </c>
      <c r="F39" s="3">
        <v>7</v>
      </c>
      <c r="G39" s="17">
        <v>5484.22</v>
      </c>
      <c r="H39" s="17">
        <f t="shared" si="2"/>
        <v>38389.54</v>
      </c>
      <c r="I39" s="18">
        <v>0</v>
      </c>
      <c r="J39" s="17">
        <f t="shared" si="3"/>
        <v>38389.54</v>
      </c>
      <c r="K39" s="3" t="s">
        <v>17</v>
      </c>
      <c r="L39" s="3" t="s">
        <v>37</v>
      </c>
      <c r="M39" s="3" t="s">
        <v>19</v>
      </c>
      <c r="N39" s="3" t="s">
        <v>20</v>
      </c>
    </row>
    <row r="40" spans="1:14" x14ac:dyDescent="0.3">
      <c r="A40" s="2" t="s">
        <v>362</v>
      </c>
      <c r="B40" s="2" t="s">
        <v>140</v>
      </c>
      <c r="C40" s="2" t="s">
        <v>113</v>
      </c>
      <c r="D40" s="2" t="s">
        <v>72</v>
      </c>
      <c r="E40" s="2" t="s">
        <v>182</v>
      </c>
      <c r="F40" s="2">
        <v>2</v>
      </c>
      <c r="G40" s="15">
        <v>4833.08</v>
      </c>
      <c r="H40" s="15">
        <f t="shared" si="2"/>
        <v>9666.16</v>
      </c>
      <c r="I40" s="16">
        <v>0.15</v>
      </c>
      <c r="J40" s="15">
        <f t="shared" si="3"/>
        <v>8216.235999999999</v>
      </c>
      <c r="K40" s="2" t="s">
        <v>90</v>
      </c>
      <c r="L40" s="2" t="s">
        <v>37</v>
      </c>
      <c r="M40" s="2" t="s">
        <v>91</v>
      </c>
      <c r="N40" s="2" t="s">
        <v>28</v>
      </c>
    </row>
    <row r="41" spans="1:14" x14ac:dyDescent="0.3">
      <c r="A41" s="3" t="s">
        <v>363</v>
      </c>
      <c r="B41" s="3" t="s">
        <v>337</v>
      </c>
      <c r="C41" s="3" t="s">
        <v>45</v>
      </c>
      <c r="D41" s="3" t="s">
        <v>24</v>
      </c>
      <c r="E41" s="3" t="s">
        <v>303</v>
      </c>
      <c r="F41" s="3">
        <v>5</v>
      </c>
      <c r="G41" s="17">
        <v>498.43</v>
      </c>
      <c r="H41" s="17">
        <f t="shared" si="2"/>
        <v>2492.15</v>
      </c>
      <c r="I41" s="18">
        <v>0.2</v>
      </c>
      <c r="J41" s="17">
        <f t="shared" si="3"/>
        <v>1993.7200000000003</v>
      </c>
      <c r="K41" s="3" t="s">
        <v>26</v>
      </c>
      <c r="L41" s="3" t="s">
        <v>42</v>
      </c>
      <c r="M41" s="3" t="s">
        <v>19</v>
      </c>
      <c r="N41" s="3" t="s">
        <v>20</v>
      </c>
    </row>
    <row r="42" spans="1:14" x14ac:dyDescent="0.3">
      <c r="A42" s="2" t="s">
        <v>364</v>
      </c>
      <c r="B42" s="2" t="s">
        <v>365</v>
      </c>
      <c r="C42" s="2" t="s">
        <v>88</v>
      </c>
      <c r="D42" s="2" t="s">
        <v>72</v>
      </c>
      <c r="E42" s="2" t="s">
        <v>195</v>
      </c>
      <c r="F42" s="2">
        <v>10</v>
      </c>
      <c r="G42" s="15">
        <v>2614.2399999999998</v>
      </c>
      <c r="H42" s="15">
        <f t="shared" si="2"/>
        <v>26142.399999999998</v>
      </c>
      <c r="I42" s="16">
        <v>0.2</v>
      </c>
      <c r="J42" s="15">
        <f t="shared" si="3"/>
        <v>20913.919999999998</v>
      </c>
      <c r="K42" s="2" t="s">
        <v>57</v>
      </c>
      <c r="L42" s="2" t="s">
        <v>37</v>
      </c>
      <c r="M42" s="2" t="s">
        <v>78</v>
      </c>
      <c r="N42" s="2" t="s">
        <v>20</v>
      </c>
    </row>
    <row r="43" spans="1:14" x14ac:dyDescent="0.3">
      <c r="A43" s="3" t="s">
        <v>366</v>
      </c>
      <c r="B43" s="3" t="s">
        <v>367</v>
      </c>
      <c r="C43" s="3" t="s">
        <v>113</v>
      </c>
      <c r="D43" s="3" t="s">
        <v>55</v>
      </c>
      <c r="E43" s="3" t="s">
        <v>325</v>
      </c>
      <c r="F43" s="3">
        <v>3</v>
      </c>
      <c r="G43" s="17">
        <v>1655.94</v>
      </c>
      <c r="H43" s="17">
        <f t="shared" si="2"/>
        <v>4967.82</v>
      </c>
      <c r="I43" s="18">
        <v>0.2</v>
      </c>
      <c r="J43" s="17">
        <f t="shared" si="3"/>
        <v>3974.2559999999999</v>
      </c>
      <c r="K43" s="3" t="s">
        <v>26</v>
      </c>
      <c r="L43" s="3" t="s">
        <v>27</v>
      </c>
      <c r="M43" s="3" t="s">
        <v>19</v>
      </c>
      <c r="N43" s="3" t="s">
        <v>20</v>
      </c>
    </row>
    <row r="44" spans="1:14" x14ac:dyDescent="0.3">
      <c r="A44" s="2" t="s">
        <v>368</v>
      </c>
      <c r="B44" s="2" t="s">
        <v>369</v>
      </c>
      <c r="C44" s="2" t="s">
        <v>113</v>
      </c>
      <c r="D44" s="2" t="s">
        <v>81</v>
      </c>
      <c r="E44" s="2" t="s">
        <v>104</v>
      </c>
      <c r="F44" s="2">
        <v>7</v>
      </c>
      <c r="G44" s="15">
        <v>6318.21</v>
      </c>
      <c r="H44" s="15">
        <f t="shared" si="2"/>
        <v>44227.47</v>
      </c>
      <c r="I44" s="16">
        <v>0.15</v>
      </c>
      <c r="J44" s="15">
        <f t="shared" si="3"/>
        <v>37593.349499999997</v>
      </c>
      <c r="K44" s="2" t="s">
        <v>17</v>
      </c>
      <c r="L44" s="2" t="s">
        <v>37</v>
      </c>
      <c r="M44" s="2" t="s">
        <v>19</v>
      </c>
      <c r="N44" s="2" t="s">
        <v>28</v>
      </c>
    </row>
    <row r="45" spans="1:14" x14ac:dyDescent="0.3">
      <c r="A45" s="3" t="s">
        <v>370</v>
      </c>
      <c r="B45" s="3" t="s">
        <v>371</v>
      </c>
      <c r="C45" s="3" t="s">
        <v>40</v>
      </c>
      <c r="D45" s="3" t="s">
        <v>81</v>
      </c>
      <c r="E45" s="3" t="s">
        <v>104</v>
      </c>
      <c r="F45" s="3">
        <v>2</v>
      </c>
      <c r="G45" s="17">
        <v>2377.7199999999998</v>
      </c>
      <c r="H45" s="17">
        <f t="shared" si="2"/>
        <v>4755.4399999999996</v>
      </c>
      <c r="I45" s="18">
        <v>0</v>
      </c>
      <c r="J45" s="17">
        <f t="shared" si="3"/>
        <v>4755.4399999999996</v>
      </c>
      <c r="K45" s="3" t="s">
        <v>17</v>
      </c>
      <c r="L45" s="3" t="s">
        <v>37</v>
      </c>
      <c r="M45" s="3" t="s">
        <v>19</v>
      </c>
      <c r="N45" s="3" t="s">
        <v>20</v>
      </c>
    </row>
    <row r="46" spans="1:14" x14ac:dyDescent="0.3">
      <c r="A46" s="2" t="s">
        <v>372</v>
      </c>
      <c r="B46" s="2" t="s">
        <v>373</v>
      </c>
      <c r="C46" s="2" t="s">
        <v>61</v>
      </c>
      <c r="D46" s="2" t="s">
        <v>55</v>
      </c>
      <c r="E46" s="2" t="s">
        <v>151</v>
      </c>
      <c r="F46" s="2">
        <v>1</v>
      </c>
      <c r="G46" s="15">
        <v>2072.0100000000002</v>
      </c>
      <c r="H46" s="15">
        <f t="shared" si="2"/>
        <v>2072.0100000000002</v>
      </c>
      <c r="I46" s="16">
        <v>0</v>
      </c>
      <c r="J46" s="15">
        <f t="shared" si="3"/>
        <v>2072.0100000000002</v>
      </c>
      <c r="K46" s="2" t="s">
        <v>26</v>
      </c>
      <c r="L46" s="2" t="s">
        <v>18</v>
      </c>
      <c r="M46" s="2" t="s">
        <v>78</v>
      </c>
      <c r="N46" s="2" t="s">
        <v>28</v>
      </c>
    </row>
    <row r="47" spans="1:14" x14ac:dyDescent="0.3">
      <c r="A47" s="3" t="s">
        <v>374</v>
      </c>
      <c r="B47" s="3" t="s">
        <v>96</v>
      </c>
      <c r="C47" s="3" t="s">
        <v>97</v>
      </c>
      <c r="D47" s="3" t="s">
        <v>81</v>
      </c>
      <c r="E47" s="3" t="s">
        <v>82</v>
      </c>
      <c r="F47" s="3">
        <v>8</v>
      </c>
      <c r="G47" s="17">
        <v>3287.27</v>
      </c>
      <c r="H47" s="17">
        <f t="shared" si="2"/>
        <v>26298.16</v>
      </c>
      <c r="I47" s="18">
        <v>0</v>
      </c>
      <c r="J47" s="17">
        <f t="shared" si="3"/>
        <v>26298.16</v>
      </c>
      <c r="K47" s="3" t="s">
        <v>36</v>
      </c>
      <c r="L47" s="3" t="s">
        <v>42</v>
      </c>
      <c r="M47" s="3" t="s">
        <v>19</v>
      </c>
      <c r="N47" s="3" t="s">
        <v>28</v>
      </c>
    </row>
    <row r="48" spans="1:14" x14ac:dyDescent="0.3">
      <c r="A48" s="2" t="s">
        <v>375</v>
      </c>
      <c r="B48" s="2" t="s">
        <v>376</v>
      </c>
      <c r="C48" s="2" t="s">
        <v>30</v>
      </c>
      <c r="D48" s="2" t="s">
        <v>31</v>
      </c>
      <c r="E48" s="2" t="s">
        <v>377</v>
      </c>
      <c r="F48" s="2">
        <v>1</v>
      </c>
      <c r="G48" s="15">
        <v>4525.6400000000003</v>
      </c>
      <c r="H48" s="15">
        <f t="shared" si="2"/>
        <v>4525.6400000000003</v>
      </c>
      <c r="I48" s="16">
        <v>0.05</v>
      </c>
      <c r="J48" s="15">
        <f t="shared" si="3"/>
        <v>4299.3580000000002</v>
      </c>
      <c r="K48" s="2" t="s">
        <v>57</v>
      </c>
      <c r="L48" s="2" t="s">
        <v>47</v>
      </c>
      <c r="M48" s="2" t="s">
        <v>91</v>
      </c>
      <c r="N48" s="2" t="s">
        <v>28</v>
      </c>
    </row>
    <row r="49" spans="1:14" x14ac:dyDescent="0.3">
      <c r="A49" s="3" t="s">
        <v>378</v>
      </c>
      <c r="B49" s="3" t="s">
        <v>193</v>
      </c>
      <c r="C49" s="3" t="s">
        <v>30</v>
      </c>
      <c r="D49" s="3" t="s">
        <v>15</v>
      </c>
      <c r="E49" s="3" t="s">
        <v>35</v>
      </c>
      <c r="F49" s="3">
        <v>6</v>
      </c>
      <c r="G49" s="17">
        <v>7607.81</v>
      </c>
      <c r="H49" s="17">
        <f t="shared" si="2"/>
        <v>45646.86</v>
      </c>
      <c r="I49" s="18">
        <v>0.2</v>
      </c>
      <c r="J49" s="17">
        <f t="shared" si="3"/>
        <v>36517.488000000005</v>
      </c>
      <c r="K49" s="3" t="s">
        <v>26</v>
      </c>
      <c r="L49" s="3" t="s">
        <v>18</v>
      </c>
      <c r="M49" s="3" t="s">
        <v>19</v>
      </c>
      <c r="N49" s="3" t="s">
        <v>28</v>
      </c>
    </row>
    <row r="50" spans="1:14" x14ac:dyDescent="0.3">
      <c r="A50" s="2" t="s">
        <v>379</v>
      </c>
      <c r="B50" s="2" t="s">
        <v>229</v>
      </c>
      <c r="C50" s="2" t="s">
        <v>97</v>
      </c>
      <c r="D50" s="2" t="s">
        <v>15</v>
      </c>
      <c r="E50" s="2" t="s">
        <v>173</v>
      </c>
      <c r="F50" s="2">
        <v>8</v>
      </c>
      <c r="G50" s="15">
        <v>2184.65</v>
      </c>
      <c r="H50" s="15">
        <f t="shared" si="2"/>
        <v>17477.2</v>
      </c>
      <c r="I50" s="16">
        <v>0.2</v>
      </c>
      <c r="J50" s="15">
        <f t="shared" si="3"/>
        <v>13981.760000000002</v>
      </c>
      <c r="K50" s="2" t="s">
        <v>36</v>
      </c>
      <c r="L50" s="2" t="s">
        <v>37</v>
      </c>
      <c r="M50" s="2" t="s">
        <v>78</v>
      </c>
      <c r="N50" s="2" t="s">
        <v>28</v>
      </c>
    </row>
    <row r="51" spans="1:14" x14ac:dyDescent="0.3">
      <c r="A51" s="3" t="s">
        <v>380</v>
      </c>
      <c r="B51" s="3" t="s">
        <v>381</v>
      </c>
      <c r="C51" s="3" t="s">
        <v>97</v>
      </c>
      <c r="D51" s="3" t="s">
        <v>55</v>
      </c>
      <c r="E51" s="3" t="s">
        <v>186</v>
      </c>
      <c r="F51" s="3">
        <v>4</v>
      </c>
      <c r="G51" s="17">
        <v>2282.96</v>
      </c>
      <c r="H51" s="17">
        <f t="shared" si="2"/>
        <v>9131.84</v>
      </c>
      <c r="I51" s="18">
        <v>0</v>
      </c>
      <c r="J51" s="17">
        <f t="shared" si="3"/>
        <v>9131.84</v>
      </c>
      <c r="K51" s="3" t="s">
        <v>90</v>
      </c>
      <c r="L51" s="3" t="s">
        <v>18</v>
      </c>
      <c r="M51" s="3" t="s">
        <v>19</v>
      </c>
      <c r="N51" s="3" t="s">
        <v>20</v>
      </c>
    </row>
    <row r="52" spans="1:14" x14ac:dyDescent="0.3">
      <c r="A52" s="2" t="s">
        <v>382</v>
      </c>
      <c r="B52" s="2" t="s">
        <v>383</v>
      </c>
      <c r="C52" s="2" t="s">
        <v>97</v>
      </c>
      <c r="D52" s="2" t="s">
        <v>31</v>
      </c>
      <c r="E52" s="2" t="s">
        <v>222</v>
      </c>
      <c r="F52" s="2">
        <v>2</v>
      </c>
      <c r="G52" s="15">
        <v>3406.71</v>
      </c>
      <c r="H52" s="15">
        <f t="shared" si="2"/>
        <v>6813.42</v>
      </c>
      <c r="I52" s="16">
        <v>0.15</v>
      </c>
      <c r="J52" s="15">
        <f t="shared" si="3"/>
        <v>5791.4070000000002</v>
      </c>
      <c r="K52" s="2" t="s">
        <v>90</v>
      </c>
      <c r="L52" s="2" t="s">
        <v>18</v>
      </c>
      <c r="M52" s="2" t="s">
        <v>58</v>
      </c>
      <c r="N52" s="2" t="s">
        <v>28</v>
      </c>
    </row>
    <row r="53" spans="1:14" x14ac:dyDescent="0.3">
      <c r="A53" s="3" t="s">
        <v>384</v>
      </c>
      <c r="B53" s="3" t="s">
        <v>359</v>
      </c>
      <c r="C53" s="3" t="s">
        <v>88</v>
      </c>
      <c r="D53" s="3" t="s">
        <v>65</v>
      </c>
      <c r="E53" s="3" t="s">
        <v>101</v>
      </c>
      <c r="F53" s="3">
        <v>1</v>
      </c>
      <c r="G53" s="17">
        <v>6875.35</v>
      </c>
      <c r="H53" s="17">
        <f t="shared" si="2"/>
        <v>6875.35</v>
      </c>
      <c r="I53" s="18">
        <v>0.15</v>
      </c>
      <c r="J53" s="17">
        <f t="shared" si="3"/>
        <v>5844.0475000000006</v>
      </c>
      <c r="K53" s="3" t="s">
        <v>17</v>
      </c>
      <c r="L53" s="3" t="s">
        <v>47</v>
      </c>
      <c r="M53" s="3" t="s">
        <v>19</v>
      </c>
      <c r="N53" s="3" t="s">
        <v>20</v>
      </c>
    </row>
    <row r="54" spans="1:14" x14ac:dyDescent="0.3">
      <c r="A54" s="2" t="s">
        <v>385</v>
      </c>
      <c r="B54" s="2" t="s">
        <v>320</v>
      </c>
      <c r="C54" s="2" t="s">
        <v>88</v>
      </c>
      <c r="D54" s="2" t="s">
        <v>72</v>
      </c>
      <c r="E54" s="2" t="s">
        <v>110</v>
      </c>
      <c r="F54" s="2">
        <v>9</v>
      </c>
      <c r="G54" s="15">
        <v>6018</v>
      </c>
      <c r="H54" s="15">
        <f t="shared" si="2"/>
        <v>54162</v>
      </c>
      <c r="I54" s="16">
        <v>0.05</v>
      </c>
      <c r="J54" s="15">
        <f t="shared" si="3"/>
        <v>51453.899999999994</v>
      </c>
      <c r="K54" s="2" t="s">
        <v>17</v>
      </c>
      <c r="L54" s="2" t="s">
        <v>18</v>
      </c>
      <c r="M54" s="2" t="s">
        <v>19</v>
      </c>
      <c r="N54" s="2" t="s">
        <v>28</v>
      </c>
    </row>
    <row r="55" spans="1:14" x14ac:dyDescent="0.3">
      <c r="A55" s="3" t="s">
        <v>386</v>
      </c>
      <c r="B55" s="3" t="s">
        <v>387</v>
      </c>
      <c r="C55" s="3" t="s">
        <v>124</v>
      </c>
      <c r="D55" s="3" t="s">
        <v>31</v>
      </c>
      <c r="E55" s="3" t="s">
        <v>32</v>
      </c>
      <c r="F55" s="3">
        <v>7</v>
      </c>
      <c r="G55" s="17">
        <v>5834.82</v>
      </c>
      <c r="H55" s="17">
        <f t="shared" si="2"/>
        <v>40843.74</v>
      </c>
      <c r="I55" s="18">
        <v>0.2</v>
      </c>
      <c r="J55" s="17">
        <f t="shared" si="3"/>
        <v>32674.991999999998</v>
      </c>
      <c r="K55" s="3" t="s">
        <v>26</v>
      </c>
      <c r="L55" s="3" t="s">
        <v>27</v>
      </c>
      <c r="M55" s="3" t="s">
        <v>19</v>
      </c>
      <c r="N55" s="3" t="s">
        <v>20</v>
      </c>
    </row>
    <row r="56" spans="1:14" x14ac:dyDescent="0.3">
      <c r="A56" s="2" t="s">
        <v>388</v>
      </c>
      <c r="B56" s="2" t="s">
        <v>202</v>
      </c>
      <c r="C56" s="2" t="s">
        <v>130</v>
      </c>
      <c r="D56" s="2" t="s">
        <v>81</v>
      </c>
      <c r="E56" s="2" t="s">
        <v>82</v>
      </c>
      <c r="F56" s="2">
        <v>3</v>
      </c>
      <c r="G56" s="15">
        <v>6954.78</v>
      </c>
      <c r="H56" s="15">
        <f t="shared" si="2"/>
        <v>20864.34</v>
      </c>
      <c r="I56" s="16">
        <v>0.1</v>
      </c>
      <c r="J56" s="15">
        <f t="shared" si="3"/>
        <v>18777.905999999999</v>
      </c>
      <c r="K56" s="2" t="s">
        <v>36</v>
      </c>
      <c r="L56" s="2" t="s">
        <v>42</v>
      </c>
      <c r="M56" s="2" t="s">
        <v>58</v>
      </c>
      <c r="N56" s="2" t="s">
        <v>28</v>
      </c>
    </row>
    <row r="57" spans="1:14" x14ac:dyDescent="0.3">
      <c r="A57" s="3" t="s">
        <v>389</v>
      </c>
      <c r="B57" s="3" t="s">
        <v>390</v>
      </c>
      <c r="C57" s="3" t="s">
        <v>40</v>
      </c>
      <c r="D57" s="3" t="s">
        <v>72</v>
      </c>
      <c r="E57" s="3" t="s">
        <v>110</v>
      </c>
      <c r="F57" s="3">
        <v>5</v>
      </c>
      <c r="G57" s="17">
        <v>6053.28</v>
      </c>
      <c r="H57" s="17">
        <f t="shared" si="2"/>
        <v>30266.399999999998</v>
      </c>
      <c r="I57" s="18">
        <v>0</v>
      </c>
      <c r="J57" s="17">
        <f t="shared" si="3"/>
        <v>30266.399999999998</v>
      </c>
      <c r="K57" s="3" t="s">
        <v>26</v>
      </c>
      <c r="L57" s="3" t="s">
        <v>37</v>
      </c>
      <c r="M57" s="3" t="s">
        <v>19</v>
      </c>
      <c r="N57" s="3" t="s">
        <v>28</v>
      </c>
    </row>
    <row r="58" spans="1:14" x14ac:dyDescent="0.3">
      <c r="A58" s="2" t="s">
        <v>391</v>
      </c>
      <c r="B58" s="2" t="s">
        <v>392</v>
      </c>
      <c r="C58" s="2" t="s">
        <v>137</v>
      </c>
      <c r="D58" s="2" t="s">
        <v>65</v>
      </c>
      <c r="E58" s="2" t="s">
        <v>77</v>
      </c>
      <c r="F58" s="2">
        <v>2</v>
      </c>
      <c r="G58" s="15">
        <v>6282.68</v>
      </c>
      <c r="H58" s="15">
        <f t="shared" si="2"/>
        <v>12565.36</v>
      </c>
      <c r="I58" s="16">
        <v>0.05</v>
      </c>
      <c r="J58" s="15">
        <f t="shared" si="3"/>
        <v>11937.092000000001</v>
      </c>
      <c r="K58" s="2" t="s">
        <v>57</v>
      </c>
      <c r="L58" s="2" t="s">
        <v>42</v>
      </c>
      <c r="M58" s="2" t="s">
        <v>19</v>
      </c>
      <c r="N58" s="2" t="s">
        <v>20</v>
      </c>
    </row>
    <row r="59" spans="1:14" x14ac:dyDescent="0.3">
      <c r="A59" s="3" t="s">
        <v>393</v>
      </c>
      <c r="B59" s="3" t="s">
        <v>394</v>
      </c>
      <c r="C59" s="3" t="s">
        <v>61</v>
      </c>
      <c r="D59" s="3" t="s">
        <v>15</v>
      </c>
      <c r="E59" s="3" t="s">
        <v>173</v>
      </c>
      <c r="F59" s="3">
        <v>2</v>
      </c>
      <c r="G59" s="17">
        <v>4577.16</v>
      </c>
      <c r="H59" s="17">
        <f t="shared" si="2"/>
        <v>9154.32</v>
      </c>
      <c r="I59" s="18">
        <v>0.1</v>
      </c>
      <c r="J59" s="17">
        <f t="shared" si="3"/>
        <v>8238.8880000000008</v>
      </c>
      <c r="K59" s="3" t="s">
        <v>36</v>
      </c>
      <c r="L59" s="3" t="s">
        <v>47</v>
      </c>
      <c r="M59" s="3" t="s">
        <v>19</v>
      </c>
      <c r="N59" s="3" t="s">
        <v>20</v>
      </c>
    </row>
    <row r="60" spans="1:14" x14ac:dyDescent="0.3">
      <c r="A60" s="2" t="s">
        <v>395</v>
      </c>
      <c r="B60" s="2" t="s">
        <v>396</v>
      </c>
      <c r="C60" s="2" t="s">
        <v>97</v>
      </c>
      <c r="D60" s="2" t="s">
        <v>31</v>
      </c>
      <c r="E60" s="2" t="s">
        <v>177</v>
      </c>
      <c r="F60" s="2">
        <v>3</v>
      </c>
      <c r="G60" s="15">
        <v>7723.06</v>
      </c>
      <c r="H60" s="15">
        <f t="shared" si="2"/>
        <v>23169.18</v>
      </c>
      <c r="I60" s="16">
        <v>0</v>
      </c>
      <c r="J60" s="15">
        <f t="shared" si="3"/>
        <v>23169.18</v>
      </c>
      <c r="K60" s="2" t="s">
        <v>57</v>
      </c>
      <c r="L60" s="2" t="s">
        <v>18</v>
      </c>
      <c r="M60" s="2" t="s">
        <v>91</v>
      </c>
      <c r="N60" s="2" t="s">
        <v>28</v>
      </c>
    </row>
    <row r="61" spans="1:14" x14ac:dyDescent="0.3">
      <c r="A61" s="3" t="s">
        <v>397</v>
      </c>
      <c r="B61" s="3" t="s">
        <v>398</v>
      </c>
      <c r="C61" s="3" t="s">
        <v>124</v>
      </c>
      <c r="D61" s="3" t="s">
        <v>72</v>
      </c>
      <c r="E61" s="3" t="s">
        <v>110</v>
      </c>
      <c r="F61" s="3">
        <v>4</v>
      </c>
      <c r="G61" s="17">
        <v>746.57</v>
      </c>
      <c r="H61" s="17">
        <f t="shared" si="2"/>
        <v>2986.28</v>
      </c>
      <c r="I61" s="18">
        <v>0.1</v>
      </c>
      <c r="J61" s="17">
        <f t="shared" si="3"/>
        <v>2687.652</v>
      </c>
      <c r="K61" s="3" t="s">
        <v>36</v>
      </c>
      <c r="L61" s="3" t="s">
        <v>42</v>
      </c>
      <c r="M61" s="3" t="s">
        <v>78</v>
      </c>
      <c r="N61" s="3" t="s">
        <v>20</v>
      </c>
    </row>
    <row r="62" spans="1:14" x14ac:dyDescent="0.3">
      <c r="A62" s="2" t="s">
        <v>399</v>
      </c>
      <c r="B62" s="2" t="s">
        <v>224</v>
      </c>
      <c r="C62" s="2" t="s">
        <v>30</v>
      </c>
      <c r="D62" s="2" t="s">
        <v>15</v>
      </c>
      <c r="E62" s="2" t="s">
        <v>173</v>
      </c>
      <c r="F62" s="2">
        <v>6</v>
      </c>
      <c r="G62" s="15">
        <v>691.31</v>
      </c>
      <c r="H62" s="15">
        <f t="shared" si="2"/>
        <v>4147.8599999999997</v>
      </c>
      <c r="I62" s="16">
        <v>0.15</v>
      </c>
      <c r="J62" s="15">
        <f t="shared" si="3"/>
        <v>3525.6809999999996</v>
      </c>
      <c r="K62" s="2" t="s">
        <v>90</v>
      </c>
      <c r="L62" s="2" t="s">
        <v>42</v>
      </c>
      <c r="M62" s="2" t="s">
        <v>19</v>
      </c>
      <c r="N62" s="2" t="s">
        <v>28</v>
      </c>
    </row>
    <row r="63" spans="1:14" x14ac:dyDescent="0.3">
      <c r="A63" s="3" t="s">
        <v>400</v>
      </c>
      <c r="B63" s="3" t="s">
        <v>401</v>
      </c>
      <c r="C63" s="3" t="s">
        <v>23</v>
      </c>
      <c r="D63" s="3" t="s">
        <v>65</v>
      </c>
      <c r="E63" s="3" t="s">
        <v>138</v>
      </c>
      <c r="F63" s="3">
        <v>3</v>
      </c>
      <c r="G63" s="17">
        <v>3568.57</v>
      </c>
      <c r="H63" s="17">
        <f t="shared" si="2"/>
        <v>10705.710000000001</v>
      </c>
      <c r="I63" s="18">
        <v>0.2</v>
      </c>
      <c r="J63" s="17">
        <f t="shared" si="3"/>
        <v>8564.5680000000011</v>
      </c>
      <c r="K63" s="3" t="s">
        <v>17</v>
      </c>
      <c r="L63" s="3" t="s">
        <v>37</v>
      </c>
      <c r="M63" s="3" t="s">
        <v>58</v>
      </c>
      <c r="N63" s="3" t="s">
        <v>28</v>
      </c>
    </row>
    <row r="64" spans="1:14" x14ac:dyDescent="0.3">
      <c r="A64" s="2" t="s">
        <v>402</v>
      </c>
      <c r="B64" s="2" t="s">
        <v>39</v>
      </c>
      <c r="C64" s="2" t="s">
        <v>113</v>
      </c>
      <c r="D64" s="2" t="s">
        <v>81</v>
      </c>
      <c r="E64" s="2" t="s">
        <v>318</v>
      </c>
      <c r="F64" s="2">
        <v>4</v>
      </c>
      <c r="G64" s="15">
        <v>6671.24</v>
      </c>
      <c r="H64" s="15">
        <f t="shared" si="2"/>
        <v>26684.959999999999</v>
      </c>
      <c r="I64" s="16">
        <v>0.15</v>
      </c>
      <c r="J64" s="15">
        <f t="shared" si="3"/>
        <v>22682.216</v>
      </c>
      <c r="K64" s="2" t="s">
        <v>57</v>
      </c>
      <c r="L64" s="2" t="s">
        <v>37</v>
      </c>
      <c r="M64" s="2" t="s">
        <v>58</v>
      </c>
      <c r="N64" s="2" t="s">
        <v>20</v>
      </c>
    </row>
    <row r="65" spans="1:14" x14ac:dyDescent="0.3">
      <c r="A65" s="3" t="s">
        <v>403</v>
      </c>
      <c r="B65" s="3" t="s">
        <v>404</v>
      </c>
      <c r="C65" s="3" t="s">
        <v>124</v>
      </c>
      <c r="D65" s="3" t="s">
        <v>15</v>
      </c>
      <c r="E65" s="3" t="s">
        <v>85</v>
      </c>
      <c r="F65" s="3">
        <v>1</v>
      </c>
      <c r="G65" s="17">
        <v>4030.31</v>
      </c>
      <c r="H65" s="17">
        <f t="shared" si="2"/>
        <v>4030.31</v>
      </c>
      <c r="I65" s="18">
        <v>0.15</v>
      </c>
      <c r="J65" s="17">
        <f t="shared" si="3"/>
        <v>3425.7635</v>
      </c>
      <c r="K65" s="3" t="s">
        <v>90</v>
      </c>
      <c r="L65" s="3" t="s">
        <v>27</v>
      </c>
      <c r="M65" s="3" t="s">
        <v>58</v>
      </c>
      <c r="N65" s="3" t="s">
        <v>20</v>
      </c>
    </row>
    <row r="66" spans="1:14" x14ac:dyDescent="0.3">
      <c r="A66" s="2" t="s">
        <v>405</v>
      </c>
      <c r="B66" s="2" t="s">
        <v>13</v>
      </c>
      <c r="C66" s="2" t="s">
        <v>45</v>
      </c>
      <c r="D66" s="2" t="s">
        <v>72</v>
      </c>
      <c r="E66" s="2" t="s">
        <v>195</v>
      </c>
      <c r="F66" s="2">
        <v>9</v>
      </c>
      <c r="G66" s="15">
        <v>229.69</v>
      </c>
      <c r="H66" s="15">
        <f t="shared" ref="H66:H81" si="4">F66*G66</f>
        <v>2067.21</v>
      </c>
      <c r="I66" s="16">
        <v>0.05</v>
      </c>
      <c r="J66" s="15">
        <f t="shared" ref="J66:J81" si="5">H66*(1-I66)</f>
        <v>1963.8495</v>
      </c>
      <c r="K66" s="2" t="s">
        <v>36</v>
      </c>
      <c r="L66" s="2" t="s">
        <v>42</v>
      </c>
      <c r="M66" s="2" t="s">
        <v>19</v>
      </c>
      <c r="N66" s="2" t="s">
        <v>28</v>
      </c>
    </row>
    <row r="67" spans="1:14" x14ac:dyDescent="0.3">
      <c r="A67" s="3" t="s">
        <v>406</v>
      </c>
      <c r="B67" s="3" t="s">
        <v>407</v>
      </c>
      <c r="C67" s="3" t="s">
        <v>69</v>
      </c>
      <c r="D67" s="3" t="s">
        <v>81</v>
      </c>
      <c r="E67" s="3" t="s">
        <v>82</v>
      </c>
      <c r="F67" s="3">
        <v>8</v>
      </c>
      <c r="G67" s="17">
        <v>6374.52</v>
      </c>
      <c r="H67" s="17">
        <f t="shared" si="4"/>
        <v>50996.160000000003</v>
      </c>
      <c r="I67" s="18">
        <v>0.05</v>
      </c>
      <c r="J67" s="17">
        <f t="shared" si="5"/>
        <v>48446.351999999999</v>
      </c>
      <c r="K67" s="3" t="s">
        <v>57</v>
      </c>
      <c r="L67" s="3" t="s">
        <v>37</v>
      </c>
      <c r="M67" s="3" t="s">
        <v>19</v>
      </c>
      <c r="N67" s="3" t="s">
        <v>28</v>
      </c>
    </row>
    <row r="68" spans="1:14" x14ac:dyDescent="0.3">
      <c r="A68" s="2" t="s">
        <v>408</v>
      </c>
      <c r="B68" s="2" t="s">
        <v>150</v>
      </c>
      <c r="C68" s="2" t="s">
        <v>137</v>
      </c>
      <c r="D68" s="2" t="s">
        <v>55</v>
      </c>
      <c r="E68" s="2" t="s">
        <v>225</v>
      </c>
      <c r="F68" s="2">
        <v>9</v>
      </c>
      <c r="G68" s="15">
        <v>4317.74</v>
      </c>
      <c r="H68" s="15">
        <f t="shared" si="4"/>
        <v>38859.659999999996</v>
      </c>
      <c r="I68" s="16">
        <v>0.1</v>
      </c>
      <c r="J68" s="15">
        <f t="shared" si="5"/>
        <v>34973.693999999996</v>
      </c>
      <c r="K68" s="2" t="s">
        <v>26</v>
      </c>
      <c r="L68" s="2" t="s">
        <v>18</v>
      </c>
      <c r="M68" s="2" t="s">
        <v>58</v>
      </c>
      <c r="N68" s="2" t="s">
        <v>20</v>
      </c>
    </row>
    <row r="69" spans="1:14" x14ac:dyDescent="0.3">
      <c r="A69" s="3" t="s">
        <v>409</v>
      </c>
      <c r="B69" s="3" t="s">
        <v>171</v>
      </c>
      <c r="C69" s="3" t="s">
        <v>14</v>
      </c>
      <c r="D69" s="3" t="s">
        <v>55</v>
      </c>
      <c r="E69" s="3" t="s">
        <v>151</v>
      </c>
      <c r="F69" s="3">
        <v>4</v>
      </c>
      <c r="G69" s="17">
        <v>2627.05</v>
      </c>
      <c r="H69" s="17">
        <f t="shared" si="4"/>
        <v>10508.2</v>
      </c>
      <c r="I69" s="18">
        <v>0.05</v>
      </c>
      <c r="J69" s="17">
        <f t="shared" si="5"/>
        <v>9982.7900000000009</v>
      </c>
      <c r="K69" s="3" t="s">
        <v>17</v>
      </c>
      <c r="L69" s="3" t="s">
        <v>27</v>
      </c>
      <c r="M69" s="3" t="s">
        <v>19</v>
      </c>
      <c r="N69" s="3" t="s">
        <v>20</v>
      </c>
    </row>
    <row r="70" spans="1:14" x14ac:dyDescent="0.3">
      <c r="A70" s="2" t="s">
        <v>410</v>
      </c>
      <c r="B70" s="2" t="s">
        <v>171</v>
      </c>
      <c r="C70" s="2" t="s">
        <v>40</v>
      </c>
      <c r="D70" s="2" t="s">
        <v>55</v>
      </c>
      <c r="E70" s="2" t="s">
        <v>325</v>
      </c>
      <c r="F70" s="2">
        <v>10</v>
      </c>
      <c r="G70" s="15">
        <v>2371.54</v>
      </c>
      <c r="H70" s="15">
        <f t="shared" si="4"/>
        <v>23715.4</v>
      </c>
      <c r="I70" s="16">
        <v>0.1</v>
      </c>
      <c r="J70" s="15">
        <f t="shared" si="5"/>
        <v>21343.86</v>
      </c>
      <c r="K70" s="2" t="s">
        <v>57</v>
      </c>
      <c r="L70" s="2" t="s">
        <v>27</v>
      </c>
      <c r="M70" s="2" t="s">
        <v>58</v>
      </c>
      <c r="N70" s="2" t="s">
        <v>20</v>
      </c>
    </row>
    <row r="71" spans="1:14" x14ac:dyDescent="0.3">
      <c r="A71" s="3" t="s">
        <v>411</v>
      </c>
      <c r="B71" s="3" t="s">
        <v>150</v>
      </c>
      <c r="C71" s="3" t="s">
        <v>30</v>
      </c>
      <c r="D71" s="3" t="s">
        <v>72</v>
      </c>
      <c r="E71" s="3" t="s">
        <v>73</v>
      </c>
      <c r="F71" s="3">
        <v>5</v>
      </c>
      <c r="G71" s="17">
        <v>507.3</v>
      </c>
      <c r="H71" s="17">
        <f t="shared" si="4"/>
        <v>2536.5</v>
      </c>
      <c r="I71" s="18">
        <v>0.1</v>
      </c>
      <c r="J71" s="17">
        <f t="shared" si="5"/>
        <v>2282.85</v>
      </c>
      <c r="K71" s="3" t="s">
        <v>57</v>
      </c>
      <c r="L71" s="3" t="s">
        <v>18</v>
      </c>
      <c r="M71" s="3" t="s">
        <v>19</v>
      </c>
      <c r="N71" s="3" t="s">
        <v>20</v>
      </c>
    </row>
    <row r="72" spans="1:14" x14ac:dyDescent="0.3">
      <c r="A72" s="2" t="s">
        <v>412</v>
      </c>
      <c r="B72" s="2" t="s">
        <v>169</v>
      </c>
      <c r="C72" s="2" t="s">
        <v>45</v>
      </c>
      <c r="D72" s="2" t="s">
        <v>55</v>
      </c>
      <c r="E72" s="2" t="s">
        <v>186</v>
      </c>
      <c r="F72" s="2">
        <v>8</v>
      </c>
      <c r="G72" s="15">
        <v>3907.91</v>
      </c>
      <c r="H72" s="15">
        <f t="shared" si="4"/>
        <v>31263.279999999999</v>
      </c>
      <c r="I72" s="16">
        <v>0</v>
      </c>
      <c r="J72" s="15">
        <f t="shared" si="5"/>
        <v>31263.279999999999</v>
      </c>
      <c r="K72" s="2" t="s">
        <v>90</v>
      </c>
      <c r="L72" s="2" t="s">
        <v>27</v>
      </c>
      <c r="M72" s="2" t="s">
        <v>78</v>
      </c>
      <c r="N72" s="2" t="s">
        <v>20</v>
      </c>
    </row>
    <row r="73" spans="1:14" x14ac:dyDescent="0.3">
      <c r="A73" s="3" t="s">
        <v>413</v>
      </c>
      <c r="B73" s="3" t="s">
        <v>169</v>
      </c>
      <c r="C73" s="3" t="s">
        <v>124</v>
      </c>
      <c r="D73" s="3" t="s">
        <v>15</v>
      </c>
      <c r="E73" s="3" t="s">
        <v>173</v>
      </c>
      <c r="F73" s="3">
        <v>2</v>
      </c>
      <c r="G73" s="17">
        <v>4679.62</v>
      </c>
      <c r="H73" s="17">
        <f t="shared" si="4"/>
        <v>9359.24</v>
      </c>
      <c r="I73" s="18">
        <v>0.05</v>
      </c>
      <c r="J73" s="17">
        <f t="shared" si="5"/>
        <v>8891.2780000000002</v>
      </c>
      <c r="K73" s="3" t="s">
        <v>57</v>
      </c>
      <c r="L73" s="3" t="s">
        <v>27</v>
      </c>
      <c r="M73" s="3" t="s">
        <v>78</v>
      </c>
      <c r="N73" s="3" t="s">
        <v>20</v>
      </c>
    </row>
    <row r="74" spans="1:14" x14ac:dyDescent="0.3">
      <c r="A74" s="2" t="s">
        <v>414</v>
      </c>
      <c r="B74" s="2" t="s">
        <v>159</v>
      </c>
      <c r="C74" s="2" t="s">
        <v>124</v>
      </c>
      <c r="D74" s="2" t="s">
        <v>65</v>
      </c>
      <c r="E74" s="2" t="s">
        <v>101</v>
      </c>
      <c r="F74" s="2">
        <v>10</v>
      </c>
      <c r="G74" s="15">
        <v>6357.32</v>
      </c>
      <c r="H74" s="15">
        <f t="shared" si="4"/>
        <v>63573.2</v>
      </c>
      <c r="I74" s="16">
        <v>0.15</v>
      </c>
      <c r="J74" s="15">
        <f t="shared" si="5"/>
        <v>54037.219999999994</v>
      </c>
      <c r="K74" s="2" t="s">
        <v>36</v>
      </c>
      <c r="L74" s="2" t="s">
        <v>18</v>
      </c>
      <c r="M74" s="2" t="s">
        <v>19</v>
      </c>
      <c r="N74" s="2" t="s">
        <v>28</v>
      </c>
    </row>
    <row r="75" spans="1:14" x14ac:dyDescent="0.3">
      <c r="A75" s="3" t="s">
        <v>415</v>
      </c>
      <c r="B75" s="3" t="s">
        <v>416</v>
      </c>
      <c r="C75" s="3" t="s">
        <v>124</v>
      </c>
      <c r="D75" s="3" t="s">
        <v>81</v>
      </c>
      <c r="E75" s="3" t="s">
        <v>318</v>
      </c>
      <c r="F75" s="3">
        <v>10</v>
      </c>
      <c r="G75" s="17">
        <v>5025.0600000000004</v>
      </c>
      <c r="H75" s="17">
        <f t="shared" si="4"/>
        <v>50250.600000000006</v>
      </c>
      <c r="I75" s="18">
        <v>0.05</v>
      </c>
      <c r="J75" s="17">
        <f t="shared" si="5"/>
        <v>47738.07</v>
      </c>
      <c r="K75" s="3" t="s">
        <v>17</v>
      </c>
      <c r="L75" s="3" t="s">
        <v>42</v>
      </c>
      <c r="M75" s="3" t="s">
        <v>19</v>
      </c>
      <c r="N75" s="3" t="s">
        <v>20</v>
      </c>
    </row>
    <row r="76" spans="1:14" x14ac:dyDescent="0.3">
      <c r="A76" s="2" t="s">
        <v>417</v>
      </c>
      <c r="B76" s="2" t="s">
        <v>106</v>
      </c>
      <c r="C76" s="2" t="s">
        <v>61</v>
      </c>
      <c r="D76" s="2" t="s">
        <v>72</v>
      </c>
      <c r="E76" s="2" t="s">
        <v>121</v>
      </c>
      <c r="F76" s="2">
        <v>2</v>
      </c>
      <c r="G76" s="15">
        <v>1378.78</v>
      </c>
      <c r="H76" s="15">
        <f t="shared" si="4"/>
        <v>2757.56</v>
      </c>
      <c r="I76" s="16">
        <v>0.2</v>
      </c>
      <c r="J76" s="15">
        <f t="shared" si="5"/>
        <v>2206.0480000000002</v>
      </c>
      <c r="K76" s="2" t="s">
        <v>26</v>
      </c>
      <c r="L76" s="2" t="s">
        <v>47</v>
      </c>
      <c r="M76" s="2" t="s">
        <v>19</v>
      </c>
      <c r="N76" s="2" t="s">
        <v>28</v>
      </c>
    </row>
    <row r="77" spans="1:14" x14ac:dyDescent="0.3">
      <c r="A77" s="3" t="s">
        <v>418</v>
      </c>
      <c r="B77" s="3" t="s">
        <v>335</v>
      </c>
      <c r="C77" s="3" t="s">
        <v>113</v>
      </c>
      <c r="D77" s="3" t="s">
        <v>72</v>
      </c>
      <c r="E77" s="3" t="s">
        <v>110</v>
      </c>
      <c r="F77" s="3">
        <v>2</v>
      </c>
      <c r="G77" s="17">
        <v>5545.97</v>
      </c>
      <c r="H77" s="17">
        <f t="shared" si="4"/>
        <v>11091.94</v>
      </c>
      <c r="I77" s="18">
        <v>0.05</v>
      </c>
      <c r="J77" s="17">
        <f t="shared" si="5"/>
        <v>10537.343000000001</v>
      </c>
      <c r="K77" s="3" t="s">
        <v>90</v>
      </c>
      <c r="L77" s="3" t="s">
        <v>18</v>
      </c>
      <c r="M77" s="3" t="s">
        <v>19</v>
      </c>
      <c r="N77" s="3" t="s">
        <v>28</v>
      </c>
    </row>
    <row r="78" spans="1:14" x14ac:dyDescent="0.3">
      <c r="A78" s="2" t="s">
        <v>419</v>
      </c>
      <c r="B78" s="2" t="s">
        <v>420</v>
      </c>
      <c r="C78" s="2" t="s">
        <v>88</v>
      </c>
      <c r="D78" s="2" t="s">
        <v>65</v>
      </c>
      <c r="E78" s="2" t="s">
        <v>52</v>
      </c>
      <c r="F78" s="2">
        <v>3</v>
      </c>
      <c r="G78" s="15">
        <v>710.57</v>
      </c>
      <c r="H78" s="15">
        <f t="shared" si="4"/>
        <v>2131.71</v>
      </c>
      <c r="I78" s="16">
        <v>0.2</v>
      </c>
      <c r="J78" s="15">
        <f t="shared" si="5"/>
        <v>1705.3680000000002</v>
      </c>
      <c r="K78" s="2" t="s">
        <v>36</v>
      </c>
      <c r="L78" s="2" t="s">
        <v>37</v>
      </c>
      <c r="M78" s="2" t="s">
        <v>58</v>
      </c>
      <c r="N78" s="2" t="s">
        <v>20</v>
      </c>
    </row>
    <row r="79" spans="1:14" x14ac:dyDescent="0.3">
      <c r="A79" s="3" t="s">
        <v>421</v>
      </c>
      <c r="B79" s="3" t="s">
        <v>422</v>
      </c>
      <c r="C79" s="3" t="s">
        <v>97</v>
      </c>
      <c r="D79" s="3" t="s">
        <v>81</v>
      </c>
      <c r="E79" s="3" t="s">
        <v>82</v>
      </c>
      <c r="F79" s="3">
        <v>5</v>
      </c>
      <c r="G79" s="17">
        <v>4078.71</v>
      </c>
      <c r="H79" s="17">
        <f t="shared" si="4"/>
        <v>20393.55</v>
      </c>
      <c r="I79" s="18">
        <v>0</v>
      </c>
      <c r="J79" s="17">
        <f t="shared" si="5"/>
        <v>20393.55</v>
      </c>
      <c r="K79" s="3" t="s">
        <v>26</v>
      </c>
      <c r="L79" s="3" t="s">
        <v>47</v>
      </c>
      <c r="M79" s="3" t="s">
        <v>58</v>
      </c>
      <c r="N79" s="3" t="s">
        <v>20</v>
      </c>
    </row>
    <row r="80" spans="1:14" x14ac:dyDescent="0.3">
      <c r="A80" s="2" t="s">
        <v>423</v>
      </c>
      <c r="B80" s="2" t="s">
        <v>424</v>
      </c>
      <c r="C80" s="2" t="s">
        <v>50</v>
      </c>
      <c r="D80" s="2" t="s">
        <v>81</v>
      </c>
      <c r="E80" s="2" t="s">
        <v>154</v>
      </c>
      <c r="F80" s="2">
        <v>4</v>
      </c>
      <c r="G80" s="15">
        <v>7701</v>
      </c>
      <c r="H80" s="15">
        <f t="shared" si="4"/>
        <v>30804</v>
      </c>
      <c r="I80" s="16">
        <v>0</v>
      </c>
      <c r="J80" s="15">
        <f t="shared" si="5"/>
        <v>30804</v>
      </c>
      <c r="K80" s="2" t="s">
        <v>17</v>
      </c>
      <c r="L80" s="2" t="s">
        <v>18</v>
      </c>
      <c r="M80" s="2" t="s">
        <v>58</v>
      </c>
      <c r="N80" s="2" t="s">
        <v>20</v>
      </c>
    </row>
    <row r="81" spans="1:14" x14ac:dyDescent="0.3">
      <c r="A81" s="3" t="s">
        <v>425</v>
      </c>
      <c r="B81" s="3" t="s">
        <v>361</v>
      </c>
      <c r="C81" s="3" t="s">
        <v>69</v>
      </c>
      <c r="D81" s="3" t="s">
        <v>24</v>
      </c>
      <c r="E81" s="3" t="s">
        <v>41</v>
      </c>
      <c r="F81" s="3">
        <v>8</v>
      </c>
      <c r="G81" s="17">
        <v>7341.17</v>
      </c>
      <c r="H81" s="17">
        <f t="shared" si="4"/>
        <v>58729.36</v>
      </c>
      <c r="I81" s="18">
        <v>0.15</v>
      </c>
      <c r="J81" s="17">
        <f t="shared" si="5"/>
        <v>49919.955999999998</v>
      </c>
      <c r="K81" s="3" t="s">
        <v>36</v>
      </c>
      <c r="L81" s="3" t="s">
        <v>18</v>
      </c>
      <c r="M81" s="3" t="s">
        <v>58</v>
      </c>
      <c r="N81" s="3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8"/>
  <sheetViews>
    <sheetView showGridLines="0" zoomScaleNormal="100" workbookViewId="0">
      <selection activeCell="H18" sqref="H18"/>
    </sheetView>
  </sheetViews>
  <sheetFormatPr defaultColWidth="8.6640625" defaultRowHeight="13.8" x14ac:dyDescent="0.25"/>
  <cols>
    <col min="1" max="1" width="30" style="29" customWidth="1"/>
    <col min="2" max="2" width="18" style="29" customWidth="1"/>
    <col min="3" max="3" width="5" style="29" customWidth="1"/>
    <col min="4" max="4" width="20" style="29" customWidth="1"/>
    <col min="5" max="5" width="12" style="29" customWidth="1"/>
    <col min="6" max="6" width="18" style="29" customWidth="1"/>
    <col min="7" max="7" width="12" style="29" customWidth="1"/>
    <col min="8" max="8" width="14" style="29" customWidth="1"/>
    <col min="9" max="16384" width="8.6640625" style="29"/>
  </cols>
  <sheetData>
    <row r="1" spans="1:8" ht="37.5" customHeight="1" x14ac:dyDescent="0.25">
      <c r="A1" s="50" t="s">
        <v>462</v>
      </c>
      <c r="B1" s="50"/>
      <c r="C1" s="50"/>
      <c r="D1" s="50"/>
      <c r="E1" s="50"/>
      <c r="F1" s="50"/>
      <c r="G1" s="50"/>
      <c r="H1" s="50"/>
    </row>
    <row r="3" spans="1:8" ht="24" customHeight="1" x14ac:dyDescent="0.25">
      <c r="A3" s="30" t="s">
        <v>426</v>
      </c>
      <c r="B3" s="30" t="s">
        <v>427</v>
      </c>
      <c r="D3" s="30" t="s">
        <v>3</v>
      </c>
      <c r="E3" s="30" t="s">
        <v>428</v>
      </c>
      <c r="F3" s="30" t="s">
        <v>429</v>
      </c>
      <c r="G3" s="30" t="s">
        <v>430</v>
      </c>
      <c r="H3" s="30" t="s">
        <v>431</v>
      </c>
    </row>
    <row r="4" spans="1:8" ht="15.6" x14ac:dyDescent="0.25">
      <c r="A4" s="31" t="s">
        <v>432</v>
      </c>
      <c r="B4" s="32">
        <f>COUNTA('Cleaned Data'!A2:A81)</f>
        <v>80</v>
      </c>
      <c r="D4" s="33" t="s">
        <v>65</v>
      </c>
      <c r="E4" s="33">
        <f>COUNTIF('Cleaned Data'!D2:D81,D4)</f>
        <v>11</v>
      </c>
      <c r="F4" s="34">
        <f>SUMIF('Cleaned Data'!D2:D81,D4,'Cleaned Data'!J2:J81)</f>
        <v>150538.22049999997</v>
      </c>
      <c r="G4" s="35">
        <f>IFERROR(F4/SUM(F4:F10),0)</f>
        <v>0.11197568093024764</v>
      </c>
      <c r="H4" s="35">
        <f>IFERROR(AVERAGEIF('Cleaned Data'!D2:D81,D4,'Cleaned Data'!I2:I81),0)</f>
        <v>0.11363636363636363</v>
      </c>
    </row>
    <row r="5" spans="1:8" ht="15.6" x14ac:dyDescent="0.25">
      <c r="A5" s="36" t="s">
        <v>433</v>
      </c>
      <c r="B5" s="37">
        <f>SUM('Cleaned Data'!J2:J81)</f>
        <v>1344383.1665000005</v>
      </c>
      <c r="D5" s="38" t="s">
        <v>31</v>
      </c>
      <c r="E5" s="38">
        <f>COUNTIF('Cleaned Data'!D2:D81,D5)</f>
        <v>6</v>
      </c>
      <c r="F5" s="39">
        <f>SUMIF('Cleaned Data'!D2:D81,D5,'Cleaned Data'!J2:J81)</f>
        <v>100583.61299999998</v>
      </c>
      <c r="G5" s="40">
        <f>IFERROR(F5/SUM(F4:F10),0)</f>
        <v>7.4817667690575032E-2</v>
      </c>
      <c r="H5" s="40">
        <f>IFERROR(AVERAGEIF('Cleaned Data'!D2:D81,D5,'Cleaned Data'!I2:I81),0)</f>
        <v>9.1666666666666674E-2</v>
      </c>
    </row>
    <row r="6" spans="1:8" ht="15.6" x14ac:dyDescent="0.25">
      <c r="A6" s="31" t="s">
        <v>434</v>
      </c>
      <c r="B6" s="41">
        <f>IFERROR(B5/B4,0)</f>
        <v>16804.789581250006</v>
      </c>
      <c r="D6" s="33" t="s">
        <v>72</v>
      </c>
      <c r="E6" s="33">
        <f>COUNTIF('Cleaned Data'!D2:D81,D6)</f>
        <v>12</v>
      </c>
      <c r="F6" s="34">
        <f>SUMIF('Cleaned Data'!D2:D81,D6,'Cleaned Data'!J2:J81)</f>
        <v>154897.41200000001</v>
      </c>
      <c r="G6" s="35">
        <f>IFERROR(F6/SUM(F4:F10),0)</f>
        <v>0.11521820256293727</v>
      </c>
      <c r="H6" s="35">
        <f>IFERROR(AVERAGEIF('Cleaned Data'!D2:D81,D6,'Cleaned Data'!I2:I81),0)</f>
        <v>0.10416666666666667</v>
      </c>
    </row>
    <row r="7" spans="1:8" ht="15.6" x14ac:dyDescent="0.25">
      <c r="A7" s="36" t="s">
        <v>435</v>
      </c>
      <c r="B7" s="42">
        <f>SUM('Cleaned Data'!F2:F81)</f>
        <v>392</v>
      </c>
      <c r="D7" s="38" t="s">
        <v>81</v>
      </c>
      <c r="E7" s="38">
        <f>COUNTIF('Cleaned Data'!D2:D81,D7)</f>
        <v>16</v>
      </c>
      <c r="F7" s="39">
        <f>SUMIF('Cleaned Data'!D2:D81,D7,'Cleaned Data'!J2:J81)</f>
        <v>366472.91149999999</v>
      </c>
      <c r="G7" s="40">
        <f>IFERROR(F7/SUM(F4:F10),0)</f>
        <v>0.27259558184894905</v>
      </c>
      <c r="H7" s="40">
        <f>IFERROR(AVERAGEIF('Cleaned Data'!D2:D81,D7,'Cleaned Data'!I2:I81),0)</f>
        <v>9.3750000000000014E-2</v>
      </c>
    </row>
    <row r="8" spans="1:8" ht="15.6" x14ac:dyDescent="0.25">
      <c r="A8" s="31" t="s">
        <v>436</v>
      </c>
      <c r="B8" s="32">
        <f>COUNTIF('Cleaned Data'!M2:M81,"Cancelled")</f>
        <v>6</v>
      </c>
      <c r="D8" s="33" t="s">
        <v>24</v>
      </c>
      <c r="E8" s="33">
        <f>COUNTIF('Cleaned Data'!D2:D81,D8)</f>
        <v>13</v>
      </c>
      <c r="F8" s="34">
        <f>SUMIF('Cleaned Data'!D2:D81,D8,'Cleaned Data'!J2:J81)</f>
        <v>241561.647</v>
      </c>
      <c r="G8" s="35">
        <f>IFERROR(F8/SUM(F4:F10),0)</f>
        <v>0.17968214198106</v>
      </c>
      <c r="H8" s="35">
        <f>IFERROR(AVERAGEIF('Cleaned Data'!D2:D81,D8,'Cleaned Data'!I2:I81),0)</f>
        <v>0.1076923076923077</v>
      </c>
    </row>
    <row r="9" spans="1:8" ht="15.6" x14ac:dyDescent="0.25">
      <c r="A9" s="36" t="s">
        <v>437</v>
      </c>
      <c r="B9" s="43">
        <f>IFERROR(COUNTIF('Cleaned Data'!N2:N81,"Yes")/B4,0)</f>
        <v>0.4375</v>
      </c>
      <c r="D9" s="38" t="s">
        <v>55</v>
      </c>
      <c r="E9" s="38">
        <f>COUNTIF('Cleaned Data'!D2:D81,D9)</f>
        <v>10</v>
      </c>
      <c r="F9" s="39">
        <f>SUMIF('Cleaned Data'!D2:D81,D9,'Cleaned Data'!J2:J81)</f>
        <v>169204.6795</v>
      </c>
      <c r="G9" s="40">
        <f>IFERROR(F9/SUM(F4:F10),0)</f>
        <v>0.12586045683725097</v>
      </c>
      <c r="H9" s="40">
        <f>IFERROR(AVERAGEIF('Cleaned Data'!D2:D81,D9,'Cleaned Data'!I2:I81),0)</f>
        <v>7.0000000000000007E-2</v>
      </c>
    </row>
    <row r="10" spans="1:8" ht="15.6" x14ac:dyDescent="0.25">
      <c r="A10" s="31" t="s">
        <v>438</v>
      </c>
      <c r="B10" s="32">
        <f>COUNTIF('Cleaned Data'!M2:M81,"Delivered")</f>
        <v>43</v>
      </c>
      <c r="D10" s="33" t="s">
        <v>15</v>
      </c>
      <c r="E10" s="33">
        <f>COUNTIF('Cleaned Data'!D2:D81,D10)</f>
        <v>12</v>
      </c>
      <c r="F10" s="34">
        <f>SUMIF('Cleaned Data'!D2:D81,D10,'Cleaned Data'!J2:J81)</f>
        <v>161124.68300000002</v>
      </c>
      <c r="G10" s="35">
        <f>IFERROR(F10/SUM(F4:F10),0)</f>
        <v>0.11985026814898016</v>
      </c>
      <c r="H10" s="35">
        <f>IFERROR(AVERAGEIF('Cleaned Data'!D2:D81,D10,'Cleaned Data'!I2:I81),0)</f>
        <v>0.10833333333333334</v>
      </c>
    </row>
    <row r="11" spans="1:8" ht="15.6" x14ac:dyDescent="0.25">
      <c r="A11" s="36" t="s">
        <v>439</v>
      </c>
      <c r="B11" s="43">
        <f>IFERROR(AVERAGE('Cleaned Data'!I2:I81),0)</f>
        <v>9.9375000000000005E-2</v>
      </c>
      <c r="D11" s="44" t="s">
        <v>440</v>
      </c>
      <c r="E11" s="44">
        <f>SUM(E4:E10)</f>
        <v>80</v>
      </c>
      <c r="F11" s="45">
        <f>SUM(F4:F10)</f>
        <v>1344383.1664999998</v>
      </c>
    </row>
    <row r="13" spans="1:8" ht="24" customHeight="1" x14ac:dyDescent="0.25">
      <c r="A13" s="30" t="s">
        <v>7</v>
      </c>
      <c r="B13" s="30" t="s">
        <v>429</v>
      </c>
      <c r="D13" s="30" t="s">
        <v>441</v>
      </c>
      <c r="E13" s="30" t="s">
        <v>428</v>
      </c>
    </row>
    <row r="14" spans="1:8" x14ac:dyDescent="0.25">
      <c r="A14" s="33" t="s">
        <v>57</v>
      </c>
      <c r="B14" s="34">
        <f>SUMIF('Cleaned Data'!K2:K81,A14,'Cleaned Data'!J2:J81)</f>
        <v>279954.77649999998</v>
      </c>
      <c r="D14" s="33" t="s">
        <v>42</v>
      </c>
      <c r="E14" s="33">
        <f>COUNTIF('Cleaned Data'!L2:L81,D14)</f>
        <v>14</v>
      </c>
    </row>
    <row r="15" spans="1:8" x14ac:dyDescent="0.25">
      <c r="A15" s="38" t="s">
        <v>36</v>
      </c>
      <c r="B15" s="39">
        <f>SUMIF('Cleaned Data'!K2:K81,A15,'Cleaned Data'!J2:J81)</f>
        <v>291779.98499999999</v>
      </c>
      <c r="D15" s="38" t="s">
        <v>27</v>
      </c>
      <c r="E15" s="38">
        <f>COUNTIF('Cleaned Data'!L2:L81,D15)</f>
        <v>16</v>
      </c>
    </row>
    <row r="16" spans="1:8" x14ac:dyDescent="0.25">
      <c r="A16" s="33" t="s">
        <v>90</v>
      </c>
      <c r="B16" s="34">
        <f>SUMIF('Cleaned Data'!K2:K81,A16,'Cleaned Data'!J2:J81)</f>
        <v>149232.897</v>
      </c>
      <c r="D16" s="33" t="s">
        <v>37</v>
      </c>
      <c r="E16" s="33">
        <f>COUNTIF('Cleaned Data'!L2:L81,D16)</f>
        <v>20</v>
      </c>
    </row>
    <row r="17" spans="1:5" x14ac:dyDescent="0.25">
      <c r="A17" s="38" t="s">
        <v>26</v>
      </c>
      <c r="B17" s="39">
        <f>SUMIF('Cleaned Data'!K2:K81,A17,'Cleaned Data'!J2:J81)</f>
        <v>236970.89949999997</v>
      </c>
      <c r="D17" s="38" t="s">
        <v>47</v>
      </c>
      <c r="E17" s="38">
        <f>COUNTIF('Cleaned Data'!L2:L81,D17)</f>
        <v>12</v>
      </c>
    </row>
    <row r="18" spans="1:5" x14ac:dyDescent="0.25">
      <c r="A18" s="33" t="s">
        <v>17</v>
      </c>
      <c r="B18" s="34">
        <f>SUMIF('Cleaned Data'!K2:K81,A18,'Cleaned Data'!J2:J81)</f>
        <v>386444.60850000003</v>
      </c>
      <c r="D18" s="33" t="s">
        <v>18</v>
      </c>
      <c r="E18" s="33">
        <f>COUNTIF('Cleaned Data'!L2:L81,D18)</f>
        <v>18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1"/>
  <sheetViews>
    <sheetView showGridLines="0" zoomScaleNormal="100" workbookViewId="0">
      <selection activeCell="M44" sqref="A1:XFD1048576"/>
    </sheetView>
  </sheetViews>
  <sheetFormatPr defaultColWidth="8.6640625" defaultRowHeight="13.8" x14ac:dyDescent="0.25"/>
  <cols>
    <col min="1" max="13" width="8.6640625" style="29"/>
    <col min="14" max="14" width="0.88671875" style="29" customWidth="1"/>
    <col min="15" max="16384" width="8.6640625" style="29"/>
  </cols>
  <sheetData>
    <row r="1" spans="1:28" ht="39.75" customHeight="1" x14ac:dyDescent="0.25">
      <c r="A1" s="46" t="s">
        <v>463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 t="s">
        <v>464</v>
      </c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</row>
  </sheetData>
  <mergeCells count="2">
    <mergeCell ref="A1:N1"/>
    <mergeCell ref="O1:AB1"/>
  </mergeCells>
  <phoneticPr fontId="19" type="noConversion"/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showGridLines="0" zoomScaleNormal="100" workbookViewId="0">
      <selection activeCell="A17" sqref="A17"/>
    </sheetView>
  </sheetViews>
  <sheetFormatPr defaultColWidth="8.6640625" defaultRowHeight="14.4" x14ac:dyDescent="0.3"/>
  <cols>
    <col min="1" max="1" width="20" customWidth="1"/>
    <col min="2" max="2" width="24" customWidth="1"/>
  </cols>
  <sheetData>
    <row r="1" spans="1:6" ht="34.5" customHeight="1" x14ac:dyDescent="0.3">
      <c r="A1" s="47" t="s">
        <v>442</v>
      </c>
      <c r="B1" s="47"/>
      <c r="C1" s="47"/>
      <c r="D1" s="47"/>
      <c r="E1" s="47"/>
      <c r="F1" s="47"/>
    </row>
    <row r="3" spans="1:6" x14ac:dyDescent="0.3">
      <c r="A3" s="25" t="s">
        <v>443</v>
      </c>
      <c r="B3" s="26" t="s">
        <v>299</v>
      </c>
    </row>
    <row r="5" spans="1:6" x14ac:dyDescent="0.3">
      <c r="A5" s="21" t="s">
        <v>1</v>
      </c>
      <c r="B5" s="3" t="str">
        <f>IFERROR(INDEX('Cleaned Data'!B2:B81,MATCH(B3,'Cleaned Data'!A2:A81,0)),"Not Found")</f>
        <v>2024-01-01</v>
      </c>
    </row>
    <row r="6" spans="1:6" x14ac:dyDescent="0.3">
      <c r="A6" s="19" t="s">
        <v>444</v>
      </c>
      <c r="B6" s="2" t="str">
        <f>IFERROR(INDEX('Cleaned Data'!C2:C81,MATCH(B3,'Cleaned Data'!A2:A81,0)),"Not Found")</f>
        <v>Sneha Patel</v>
      </c>
    </row>
    <row r="7" spans="1:6" x14ac:dyDescent="0.3">
      <c r="A7" s="21" t="s">
        <v>3</v>
      </c>
      <c r="B7" s="3" t="str">
        <f>IFERROR(INDEX('Cleaned Data'!D2:D81,MATCH(B3,'Cleaned Data'!A2:A81,0)),"Not Found")</f>
        <v>Beauty</v>
      </c>
    </row>
    <row r="8" spans="1:6" x14ac:dyDescent="0.3">
      <c r="A8" s="19" t="s">
        <v>4</v>
      </c>
      <c r="B8" s="2" t="str">
        <f>IFERROR(INDEX('Cleaned Data'!E2:E81,MATCH(B3,'Cleaned Data'!A2:A81,0)),"Not Found")</f>
        <v>Shampoo</v>
      </c>
    </row>
    <row r="9" spans="1:6" x14ac:dyDescent="0.3">
      <c r="A9" s="21" t="s">
        <v>5</v>
      </c>
      <c r="B9" s="3">
        <f>IFERROR(INDEX('Cleaned Data'!F2:F81,MATCH(B3,'Cleaned Data'!A2:A81,0)),"Not Found")</f>
        <v>3</v>
      </c>
    </row>
    <row r="10" spans="1:6" x14ac:dyDescent="0.3">
      <c r="A10" s="19" t="s">
        <v>445</v>
      </c>
      <c r="B10" s="15">
        <f>IFERROR(INDEX('Cleaned Data'!G2:G81,MATCH(B3,'Cleaned Data'!A2:A81,0)),"Not Found")</f>
        <v>5931.3</v>
      </c>
    </row>
    <row r="11" spans="1:6" x14ac:dyDescent="0.3">
      <c r="A11" s="21" t="s">
        <v>446</v>
      </c>
      <c r="B11" s="17">
        <f>IFERROR(INDEX('Cleaned Data'!J2:J81,MATCH(B3,'Cleaned Data'!A2:A81,0)),"Not Found")</f>
        <v>14235.120000000003</v>
      </c>
    </row>
    <row r="12" spans="1:6" x14ac:dyDescent="0.3">
      <c r="A12" s="19" t="s">
        <v>7</v>
      </c>
      <c r="B12" s="2" t="str">
        <f>IFERROR(INDEX('Cleaned Data'!K2:K81,MATCH(B3,'Cleaned Data'!A2:A81,0)),"Not Found")</f>
        <v>Central</v>
      </c>
    </row>
    <row r="13" spans="1:6" x14ac:dyDescent="0.3">
      <c r="A13" s="21" t="s">
        <v>441</v>
      </c>
      <c r="B13" s="3" t="str">
        <f>IFERROR(INDEX('Cleaned Data'!L2:L81,MATCH(B3,'Cleaned Data'!A2:A81,0)),"Not Found")</f>
        <v>UPI</v>
      </c>
    </row>
    <row r="14" spans="1:6" x14ac:dyDescent="0.3">
      <c r="A14" s="19" t="s">
        <v>447</v>
      </c>
      <c r="B14" s="2" t="str">
        <f>IFERROR(INDEX('Cleaned Data'!M2:M81,MATCH(B3,'Cleaned Data'!A2:A81,0)),"Not Found")</f>
        <v>Shipped</v>
      </c>
    </row>
    <row r="15" spans="1:6" x14ac:dyDescent="0.3">
      <c r="A15" s="21" t="s">
        <v>448</v>
      </c>
      <c r="B15" s="3" t="str">
        <f>IFERROR(INDEX('Cleaned Data'!N2:N81,MATCH(B3,'Cleaned Data'!A2:A81,0)),"Not Found")</f>
        <v>Yes</v>
      </c>
    </row>
    <row r="17" spans="1:1" x14ac:dyDescent="0.3">
      <c r="A17" s="27"/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0"/>
  <sheetViews>
    <sheetView showGridLines="0" topLeftCell="A10" zoomScaleNormal="100" workbookViewId="0">
      <selection activeCell="L22" sqref="L22"/>
    </sheetView>
  </sheetViews>
  <sheetFormatPr defaultColWidth="8.6640625" defaultRowHeight="14.4" x14ac:dyDescent="0.3"/>
  <cols>
    <col min="1" max="1" width="14" customWidth="1"/>
    <col min="2" max="2" width="10" customWidth="1"/>
    <col min="3" max="3" width="18" customWidth="1"/>
    <col min="4" max="4" width="20" customWidth="1"/>
    <col min="5" max="5" width="16" customWidth="1"/>
  </cols>
  <sheetData>
    <row r="1" spans="1:5" ht="34.5" customHeight="1" x14ac:dyDescent="0.3">
      <c r="A1" s="51" t="s">
        <v>465</v>
      </c>
      <c r="B1" s="47"/>
      <c r="C1" s="47"/>
      <c r="D1" s="47"/>
      <c r="E1" s="47"/>
    </row>
    <row r="3" spans="1:5" ht="27.75" customHeight="1" x14ac:dyDescent="0.3">
      <c r="A3" s="28" t="s">
        <v>449</v>
      </c>
      <c r="B3" s="28" t="s">
        <v>428</v>
      </c>
      <c r="C3" s="28" t="s">
        <v>429</v>
      </c>
      <c r="D3" s="28" t="s">
        <v>450</v>
      </c>
      <c r="E3" s="28" t="s">
        <v>451</v>
      </c>
    </row>
    <row r="4" spans="1:5" x14ac:dyDescent="0.3">
      <c r="A4" s="2" t="s">
        <v>452</v>
      </c>
      <c r="B4" s="2">
        <f>COUNTIFS('Cleaned Data'!B2:B81,"2024-01-*")</f>
        <v>13</v>
      </c>
      <c r="C4" s="15">
        <f>SUMPRODUCT((LEFT('Cleaned Data'!B2:B81,7)="2024-01")*'Cleaned Data'!J2:J81)</f>
        <v>262296.82049999997</v>
      </c>
      <c r="D4" s="15">
        <f t="shared" ref="D4:D9" si="0">IFERROR(C4/B4,0)</f>
        <v>20176.678499999998</v>
      </c>
      <c r="E4" s="2" t="s">
        <v>453</v>
      </c>
    </row>
    <row r="5" spans="1:5" x14ac:dyDescent="0.3">
      <c r="A5" s="3" t="s">
        <v>454</v>
      </c>
      <c r="B5" s="3">
        <f>COUNTIFS('Cleaned Data'!B2:B81,"2024-02-*")</f>
        <v>18</v>
      </c>
      <c r="C5" s="17">
        <f>SUMPRODUCT((LEFT('Cleaned Data'!B2:B81,7)="2024-02")*'Cleaned Data'!J2:J81)</f>
        <v>217848.76550000001</v>
      </c>
      <c r="D5" s="17">
        <f t="shared" si="0"/>
        <v>12102.709194444446</v>
      </c>
      <c r="E5" s="22">
        <f>IFERROR((C5-C4)/C4,0)</f>
        <v>-0.1694570864994529</v>
      </c>
    </row>
    <row r="6" spans="1:5" x14ac:dyDescent="0.3">
      <c r="A6" s="2" t="s">
        <v>455</v>
      </c>
      <c r="B6" s="2">
        <f>COUNTIFS('Cleaned Data'!B2:B81,"2024-03-*")</f>
        <v>8</v>
      </c>
      <c r="C6" s="15">
        <f>SUMPRODUCT((LEFT('Cleaned Data'!B2:B81,7)="2024-03")*'Cleaned Data'!J2:J81)</f>
        <v>171616.05649999998</v>
      </c>
      <c r="D6" s="15">
        <f t="shared" si="0"/>
        <v>21452.007062499997</v>
      </c>
      <c r="E6" s="20">
        <f>IFERROR((C6-C5)/C5,0)</f>
        <v>-0.21222387418119212</v>
      </c>
    </row>
    <row r="7" spans="1:5" x14ac:dyDescent="0.3">
      <c r="A7" s="3" t="s">
        <v>456</v>
      </c>
      <c r="B7" s="3">
        <f>COUNTIFS('Cleaned Data'!B2:B81,"2024-04-*")</f>
        <v>14</v>
      </c>
      <c r="C7" s="17">
        <f>SUMPRODUCT((LEFT('Cleaned Data'!B2:B81,7)="2024-04")*'Cleaned Data'!J2:J81)</f>
        <v>257550.22199999998</v>
      </c>
      <c r="D7" s="17">
        <f t="shared" si="0"/>
        <v>18396.444428571427</v>
      </c>
      <c r="E7" s="22">
        <f>IFERROR((C7-C6)/C6,0)</f>
        <v>0.50073499678627109</v>
      </c>
    </row>
    <row r="8" spans="1:5" x14ac:dyDescent="0.3">
      <c r="A8" s="2" t="s">
        <v>457</v>
      </c>
      <c r="B8" s="2">
        <f>COUNTIFS('Cleaned Data'!B2:B81,"2024-05-*")</f>
        <v>14</v>
      </c>
      <c r="C8" s="15">
        <f>SUMPRODUCT((LEFT('Cleaned Data'!B2:B81,7)="2024-05")*'Cleaned Data'!J2:J81)</f>
        <v>244122.53949999998</v>
      </c>
      <c r="D8" s="15">
        <f t="shared" si="0"/>
        <v>17437.324249999998</v>
      </c>
      <c r="E8" s="20">
        <f>IFERROR((C8-C7)/C7,0)</f>
        <v>-5.2136171328945685E-2</v>
      </c>
    </row>
    <row r="9" spans="1:5" x14ac:dyDescent="0.3">
      <c r="A9" s="3" t="s">
        <v>458</v>
      </c>
      <c r="B9" s="3">
        <f>COUNTIFS('Cleaned Data'!B2:B81,"2024-06-*")</f>
        <v>13</v>
      </c>
      <c r="C9" s="17">
        <f>SUMPRODUCT((LEFT('Cleaned Data'!B2:B81,7)="2024-06")*'Cleaned Data'!J2:J81)</f>
        <v>190948.76250000001</v>
      </c>
      <c r="D9" s="17">
        <f t="shared" si="0"/>
        <v>14688.366346153847</v>
      </c>
      <c r="E9" s="22">
        <f>IFERROR((C9-C8)/C8,0)</f>
        <v>-0.21781592600547225</v>
      </c>
    </row>
    <row r="10" spans="1:5" x14ac:dyDescent="0.3">
      <c r="A10" s="23" t="s">
        <v>440</v>
      </c>
      <c r="B10" s="23">
        <f>SUM(B4:B9)</f>
        <v>80</v>
      </c>
      <c r="C10" s="24">
        <f>SUM(C4:C9)</f>
        <v>1344383.1664999998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8"/>
  <sheetViews>
    <sheetView showGridLines="0" zoomScaleNormal="100" workbookViewId="0">
      <selection sqref="A1:F1"/>
    </sheetView>
  </sheetViews>
  <sheetFormatPr defaultColWidth="8.6640625" defaultRowHeight="14.4" x14ac:dyDescent="0.3"/>
  <cols>
    <col min="1" max="1" width="20" customWidth="1"/>
    <col min="2" max="2" width="18" customWidth="1"/>
    <col min="3" max="3" width="10" customWidth="1"/>
    <col min="4" max="4" width="18" customWidth="1"/>
    <col min="5" max="5" width="16" customWidth="1"/>
    <col min="6" max="6" width="14" customWidth="1"/>
  </cols>
  <sheetData>
    <row r="1" spans="1:6" ht="34.5" customHeight="1" x14ac:dyDescent="0.3">
      <c r="A1" s="47" t="s">
        <v>459</v>
      </c>
      <c r="B1" s="47"/>
      <c r="C1" s="47"/>
      <c r="D1" s="47"/>
      <c r="E1" s="47"/>
      <c r="F1" s="47"/>
    </row>
    <row r="3" spans="1:6" ht="27.75" customHeight="1" x14ac:dyDescent="0.3">
      <c r="A3" s="6" t="s">
        <v>4</v>
      </c>
      <c r="B3" s="6" t="s">
        <v>3</v>
      </c>
      <c r="C3" s="6" t="s">
        <v>428</v>
      </c>
      <c r="D3" s="6" t="s">
        <v>429</v>
      </c>
      <c r="E3" s="6" t="s">
        <v>460</v>
      </c>
      <c r="F3" s="6" t="s">
        <v>461</v>
      </c>
    </row>
    <row r="4" spans="1:6" x14ac:dyDescent="0.3">
      <c r="A4" s="2" t="s">
        <v>66</v>
      </c>
      <c r="B4" s="2" t="s">
        <v>65</v>
      </c>
      <c r="C4" s="2">
        <f>COUNTIF('Cleaned Data'!E2:E81,A4)</f>
        <v>1</v>
      </c>
      <c r="D4" s="15">
        <f>SUMIF('Cleaned Data'!E2:E81,A4,'Cleaned Data'!J2:J81)</f>
        <v>3601.7730000000001</v>
      </c>
      <c r="E4" s="15">
        <f>IFERROR(AVERAGEIF('Cleaned Data'!E2:E81,A4,'Cleaned Data'!G2:G81),0)</f>
        <v>706.23</v>
      </c>
      <c r="F4" s="2" t="str">
        <f t="shared" ref="F4:F38" si="0">IF(D4&gt;5000,"⭐ High",IF(D4&gt;2000,"✅ Medium","🔻 Low"))</f>
        <v>✅ Medium</v>
      </c>
    </row>
    <row r="5" spans="1:6" x14ac:dyDescent="0.3">
      <c r="A5" s="3" t="s">
        <v>77</v>
      </c>
      <c r="B5" s="3" t="s">
        <v>65</v>
      </c>
      <c r="C5" s="3">
        <f>COUNTIF('Cleaned Data'!E2:E81,A5)</f>
        <v>1</v>
      </c>
      <c r="D5" s="17">
        <f>SUMIF('Cleaned Data'!E2:E81,A5,'Cleaned Data'!J2:J81)</f>
        <v>11937.092000000001</v>
      </c>
      <c r="E5" s="17">
        <f>IFERROR(AVERAGEIF('Cleaned Data'!E2:E81,A5,'Cleaned Data'!G2:G81),0)</f>
        <v>6282.68</v>
      </c>
      <c r="F5" s="3" t="str">
        <f t="shared" si="0"/>
        <v>⭐ High</v>
      </c>
    </row>
    <row r="6" spans="1:6" x14ac:dyDescent="0.3">
      <c r="A6" s="2" t="s">
        <v>52</v>
      </c>
      <c r="B6" s="2" t="s">
        <v>65</v>
      </c>
      <c r="C6" s="2">
        <f>COUNTIF('Cleaned Data'!E2:E81,A6)</f>
        <v>2</v>
      </c>
      <c r="D6" s="15">
        <f>SUMIF('Cleaned Data'!E2:E81,A6,'Cleaned Data'!J2:J81)</f>
        <v>17470.332999999999</v>
      </c>
      <c r="E6" s="15">
        <f>IFERROR(AVERAGEIF('Cleaned Data'!E2:E81,A6,'Cleaned Data'!G2:G81),0)</f>
        <v>1185.02</v>
      </c>
      <c r="F6" s="2" t="str">
        <f t="shared" si="0"/>
        <v>⭐ High</v>
      </c>
    </row>
    <row r="7" spans="1:6" x14ac:dyDescent="0.3">
      <c r="A7" s="3" t="s">
        <v>138</v>
      </c>
      <c r="B7" s="3" t="s">
        <v>65</v>
      </c>
      <c r="C7" s="3">
        <f>COUNTIF('Cleaned Data'!E2:E81,A7)</f>
        <v>3</v>
      </c>
      <c r="D7" s="17">
        <f>SUMIF('Cleaned Data'!E2:E81,A7,'Cleaned Data'!J2:J81)</f>
        <v>20889.9735</v>
      </c>
      <c r="E7" s="17">
        <f>IFERROR(AVERAGEIF('Cleaned Data'!E2:E81,A7,'Cleaned Data'!G2:G81),0)</f>
        <v>3477.103333333333</v>
      </c>
      <c r="F7" s="3" t="str">
        <f t="shared" si="0"/>
        <v>⭐ High</v>
      </c>
    </row>
    <row r="8" spans="1:6" x14ac:dyDescent="0.3">
      <c r="A8" s="2" t="s">
        <v>101</v>
      </c>
      <c r="B8" s="2" t="s">
        <v>65</v>
      </c>
      <c r="C8" s="2">
        <f>COUNTIF('Cleaned Data'!E2:E81,A8)</f>
        <v>4</v>
      </c>
      <c r="D8" s="15">
        <f>SUMIF('Cleaned Data'!E2:E81,A8,'Cleaned Data'!J2:J81)</f>
        <v>96639.048999999999</v>
      </c>
      <c r="E8" s="15">
        <f>IFERROR(AVERAGEIF('Cleaned Data'!E2:E81,A8,'Cleaned Data'!G2:G81),0)</f>
        <v>6068.6</v>
      </c>
      <c r="F8" s="2" t="str">
        <f t="shared" si="0"/>
        <v>⭐ High</v>
      </c>
    </row>
    <row r="9" spans="1:6" x14ac:dyDescent="0.3">
      <c r="A9" s="3" t="s">
        <v>177</v>
      </c>
      <c r="B9" s="3" t="s">
        <v>31</v>
      </c>
      <c r="C9" s="3">
        <f>COUNTIF('Cleaned Data'!E2:E81,A9)</f>
        <v>2</v>
      </c>
      <c r="D9" s="17">
        <f>SUMIF('Cleaned Data'!E2:E81,A9,'Cleaned Data'!J2:J81)</f>
        <v>50978.036</v>
      </c>
      <c r="E9" s="17">
        <f>IFERROR(AVERAGEIF('Cleaned Data'!E2:E81,A9,'Cleaned Data'!G2:G81),0)</f>
        <v>7520.59</v>
      </c>
      <c r="F9" s="3" t="str">
        <f t="shared" si="0"/>
        <v>⭐ High</v>
      </c>
    </row>
    <row r="10" spans="1:6" x14ac:dyDescent="0.3">
      <c r="A10" s="2" t="s">
        <v>222</v>
      </c>
      <c r="B10" s="2" t="s">
        <v>31</v>
      </c>
      <c r="C10" s="2">
        <f>COUNTIF('Cleaned Data'!E2:E81,A10)</f>
        <v>1</v>
      </c>
      <c r="D10" s="15">
        <f>SUMIF('Cleaned Data'!E2:E81,A10,'Cleaned Data'!J2:J81)</f>
        <v>5791.4070000000002</v>
      </c>
      <c r="E10" s="15">
        <f>IFERROR(AVERAGEIF('Cleaned Data'!E2:E81,A10,'Cleaned Data'!G2:G81),0)</f>
        <v>3406.71</v>
      </c>
      <c r="F10" s="2" t="str">
        <f t="shared" si="0"/>
        <v>⭐ High</v>
      </c>
    </row>
    <row r="11" spans="1:6" x14ac:dyDescent="0.3">
      <c r="A11" s="3" t="s">
        <v>32</v>
      </c>
      <c r="B11" s="3" t="s">
        <v>31</v>
      </c>
      <c r="C11" s="3">
        <f>COUNTIF('Cleaned Data'!E2:E81,A11)</f>
        <v>2</v>
      </c>
      <c r="D11" s="17">
        <f>SUMIF('Cleaned Data'!E2:E81,A11,'Cleaned Data'!J2:J81)</f>
        <v>39514.811999999998</v>
      </c>
      <c r="E11" s="17">
        <f>IFERROR(AVERAGEIF('Cleaned Data'!E2:E81,A11,'Cleaned Data'!G2:G81),0)</f>
        <v>3867.3849999999998</v>
      </c>
      <c r="F11" s="3" t="str">
        <f t="shared" si="0"/>
        <v>⭐ High</v>
      </c>
    </row>
    <row r="12" spans="1:6" x14ac:dyDescent="0.3">
      <c r="A12" s="2" t="s">
        <v>377</v>
      </c>
      <c r="B12" s="2" t="s">
        <v>31</v>
      </c>
      <c r="C12" s="2">
        <f>COUNTIF('Cleaned Data'!E2:E81,A12)</f>
        <v>1</v>
      </c>
      <c r="D12" s="15">
        <f>SUMIF('Cleaned Data'!E2:E81,A12,'Cleaned Data'!J2:J81)</f>
        <v>4299.3580000000002</v>
      </c>
      <c r="E12" s="15">
        <f>IFERROR(AVERAGEIF('Cleaned Data'!E2:E81,A12,'Cleaned Data'!G2:G81),0)</f>
        <v>4525.6400000000003</v>
      </c>
      <c r="F12" s="2" t="str">
        <f t="shared" si="0"/>
        <v>✅ Medium</v>
      </c>
    </row>
    <row r="13" spans="1:6" x14ac:dyDescent="0.3">
      <c r="A13" s="3" t="s">
        <v>94</v>
      </c>
      <c r="B13" s="3" t="s">
        <v>31</v>
      </c>
      <c r="C13" s="3">
        <f>COUNTIF('Cleaned Data'!E2:E81,A13)</f>
        <v>0</v>
      </c>
      <c r="D13" s="17">
        <f>SUMIF('Cleaned Data'!E2:E81,A13,'Cleaned Data'!J2:J81)</f>
        <v>0</v>
      </c>
      <c r="E13" s="17">
        <f>IFERROR(AVERAGEIF('Cleaned Data'!E2:E81,A13,'Cleaned Data'!G2:G81),0)</f>
        <v>0</v>
      </c>
      <c r="F13" s="3" t="str">
        <f t="shared" si="0"/>
        <v>🔻 Low</v>
      </c>
    </row>
    <row r="14" spans="1:6" x14ac:dyDescent="0.3">
      <c r="A14" s="2" t="s">
        <v>182</v>
      </c>
      <c r="B14" s="2" t="s">
        <v>72</v>
      </c>
      <c r="C14" s="2">
        <f>COUNTIF('Cleaned Data'!E2:E81,A14)</f>
        <v>2</v>
      </c>
      <c r="D14" s="15">
        <f>SUMIF('Cleaned Data'!E2:E81,A14,'Cleaned Data'!J2:J81)</f>
        <v>10375.915999999999</v>
      </c>
      <c r="E14" s="15">
        <f>IFERROR(AVERAGEIF('Cleaned Data'!E2:E81,A14,'Cleaned Data'!G2:G81),0)</f>
        <v>3091.44</v>
      </c>
      <c r="F14" s="2" t="str">
        <f t="shared" si="0"/>
        <v>⭐ High</v>
      </c>
    </row>
    <row r="15" spans="1:6" x14ac:dyDescent="0.3">
      <c r="A15" s="3" t="s">
        <v>73</v>
      </c>
      <c r="B15" s="3" t="s">
        <v>72</v>
      </c>
      <c r="C15" s="3">
        <f>COUNTIF('Cleaned Data'!E2:E81,A15)</f>
        <v>1</v>
      </c>
      <c r="D15" s="17">
        <f>SUMIF('Cleaned Data'!E2:E81,A15,'Cleaned Data'!J2:J81)</f>
        <v>2282.85</v>
      </c>
      <c r="E15" s="17">
        <f>IFERROR(AVERAGEIF('Cleaned Data'!E2:E81,A15,'Cleaned Data'!G2:G81),0)</f>
        <v>507.3</v>
      </c>
      <c r="F15" s="3" t="str">
        <f t="shared" si="0"/>
        <v>✅ Medium</v>
      </c>
    </row>
    <row r="16" spans="1:6" x14ac:dyDescent="0.3">
      <c r="A16" s="2" t="s">
        <v>195</v>
      </c>
      <c r="B16" s="2" t="s">
        <v>72</v>
      </c>
      <c r="C16" s="2">
        <f>COUNTIF('Cleaned Data'!E2:E81,A16)</f>
        <v>4</v>
      </c>
      <c r="D16" s="15">
        <f>SUMIF('Cleaned Data'!E2:E81,A16,'Cleaned Data'!J2:J81)</f>
        <v>45087.303</v>
      </c>
      <c r="E16" s="15">
        <f>IFERROR(AVERAGEIF('Cleaned Data'!E2:E81,A16,'Cleaned Data'!G2:G81),0)</f>
        <v>1979.9174999999998</v>
      </c>
      <c r="F16" s="2" t="str">
        <f t="shared" si="0"/>
        <v>⭐ High</v>
      </c>
    </row>
    <row r="17" spans="1:6" x14ac:dyDescent="0.3">
      <c r="A17" s="3" t="s">
        <v>110</v>
      </c>
      <c r="B17" s="3" t="s">
        <v>72</v>
      </c>
      <c r="C17" s="3">
        <f>COUNTIF('Cleaned Data'!E2:E81,A17)</f>
        <v>4</v>
      </c>
      <c r="D17" s="17">
        <f>SUMIF('Cleaned Data'!E2:E81,A17,'Cleaned Data'!J2:J81)</f>
        <v>94945.294999999984</v>
      </c>
      <c r="E17" s="17">
        <f>IFERROR(AVERAGEIF('Cleaned Data'!E2:E81,A17,'Cleaned Data'!G2:G81),0)</f>
        <v>4590.9549999999999</v>
      </c>
      <c r="F17" s="3" t="str">
        <f t="shared" si="0"/>
        <v>⭐ High</v>
      </c>
    </row>
    <row r="18" spans="1:6" x14ac:dyDescent="0.3">
      <c r="A18" s="2" t="s">
        <v>121</v>
      </c>
      <c r="B18" s="2" t="s">
        <v>72</v>
      </c>
      <c r="C18" s="2">
        <f>COUNTIF('Cleaned Data'!E2:E81,A18)</f>
        <v>1</v>
      </c>
      <c r="D18" s="15">
        <f>SUMIF('Cleaned Data'!E2:E81,A18,'Cleaned Data'!J2:J81)</f>
        <v>2206.0480000000002</v>
      </c>
      <c r="E18" s="15">
        <f>IFERROR(AVERAGEIF('Cleaned Data'!E2:E81,A18,'Cleaned Data'!G2:G81),0)</f>
        <v>1378.78</v>
      </c>
      <c r="F18" s="2" t="str">
        <f t="shared" si="0"/>
        <v>✅ Medium</v>
      </c>
    </row>
    <row r="19" spans="1:6" x14ac:dyDescent="0.3">
      <c r="A19" s="3" t="s">
        <v>154</v>
      </c>
      <c r="B19" s="3" t="s">
        <v>81</v>
      </c>
      <c r="C19" s="3">
        <f>COUNTIF('Cleaned Data'!E2:E81,A19)</f>
        <v>3</v>
      </c>
      <c r="D19" s="17">
        <f>SUMIF('Cleaned Data'!E2:E81,A19,'Cleaned Data'!J2:J81)</f>
        <v>53136.505999999994</v>
      </c>
      <c r="E19" s="17">
        <f>IFERROR(AVERAGEIF('Cleaned Data'!E2:E81,A19,'Cleaned Data'!G2:G81),0)</f>
        <v>5640.6933333333336</v>
      </c>
      <c r="F19" s="3" t="str">
        <f t="shared" si="0"/>
        <v>⭐ High</v>
      </c>
    </row>
    <row r="20" spans="1:6" x14ac:dyDescent="0.3">
      <c r="A20" s="2" t="s">
        <v>104</v>
      </c>
      <c r="B20" s="2" t="s">
        <v>81</v>
      </c>
      <c r="C20" s="2">
        <f>COUNTIF('Cleaned Data'!E2:E81,A20)</f>
        <v>4</v>
      </c>
      <c r="D20" s="15">
        <f>SUMIF('Cleaned Data'!E2:E81,A20,'Cleaned Data'!J2:J81)</f>
        <v>74884.947500000009</v>
      </c>
      <c r="E20" s="15">
        <f>IFERROR(AVERAGEIF('Cleaned Data'!E2:E81,A20,'Cleaned Data'!G2:G81),0)</f>
        <v>3310.9549999999999</v>
      </c>
      <c r="F20" s="2" t="str">
        <f t="shared" si="0"/>
        <v>⭐ High</v>
      </c>
    </row>
    <row r="21" spans="1:6" x14ac:dyDescent="0.3">
      <c r="A21" s="3" t="s">
        <v>318</v>
      </c>
      <c r="B21" s="3" t="s">
        <v>81</v>
      </c>
      <c r="C21" s="3">
        <f>COUNTIF('Cleaned Data'!E2:E81,A21)</f>
        <v>4</v>
      </c>
      <c r="D21" s="17">
        <f>SUMIF('Cleaned Data'!E2:E81,A21,'Cleaned Data'!J2:J81)</f>
        <v>120597.81</v>
      </c>
      <c r="E21" s="17">
        <f>IFERROR(AVERAGEIF('Cleaned Data'!E2:E81,A21,'Cleaned Data'!G2:G81),0)</f>
        <v>4706.6374999999998</v>
      </c>
      <c r="F21" s="3" t="str">
        <f t="shared" si="0"/>
        <v>⭐ High</v>
      </c>
    </row>
    <row r="22" spans="1:6" x14ac:dyDescent="0.3">
      <c r="A22" s="2" t="s">
        <v>82</v>
      </c>
      <c r="B22" s="2" t="s">
        <v>81</v>
      </c>
      <c r="C22" s="2">
        <f>COUNTIF('Cleaned Data'!E2:E81,A22)</f>
        <v>5</v>
      </c>
      <c r="D22" s="15">
        <f>SUMIF('Cleaned Data'!E2:E81,A22,'Cleaned Data'!J2:J81)</f>
        <v>117853.648</v>
      </c>
      <c r="E22" s="15">
        <f>IFERROR(AVERAGEIF('Cleaned Data'!E2:E81,A22,'Cleaned Data'!G2:G81),0)</f>
        <v>4467.1959999999999</v>
      </c>
      <c r="F22" s="2" t="str">
        <f t="shared" si="0"/>
        <v>⭐ High</v>
      </c>
    </row>
    <row r="23" spans="1:6" x14ac:dyDescent="0.3">
      <c r="A23" s="3" t="s">
        <v>161</v>
      </c>
      <c r="B23" s="3" t="s">
        <v>81</v>
      </c>
      <c r="C23" s="3">
        <f>COUNTIF('Cleaned Data'!E2:E81,A23)</f>
        <v>0</v>
      </c>
      <c r="D23" s="17">
        <f>SUMIF('Cleaned Data'!E2:E81,A23,'Cleaned Data'!J2:J81)</f>
        <v>0</v>
      </c>
      <c r="E23" s="17">
        <f>IFERROR(AVERAGEIF('Cleaned Data'!E2:E81,A23,'Cleaned Data'!G2:G81),0)</f>
        <v>0</v>
      </c>
      <c r="F23" s="3" t="str">
        <f t="shared" si="0"/>
        <v>🔻 Low</v>
      </c>
    </row>
    <row r="24" spans="1:6" x14ac:dyDescent="0.3">
      <c r="A24" s="2" t="s">
        <v>62</v>
      </c>
      <c r="B24" s="2" t="s">
        <v>24</v>
      </c>
      <c r="C24" s="2">
        <f>COUNTIF('Cleaned Data'!E2:E81,A24)</f>
        <v>1</v>
      </c>
      <c r="D24" s="15">
        <f>SUMIF('Cleaned Data'!E2:E81,A24,'Cleaned Data'!J2:J81)</f>
        <v>10638.912</v>
      </c>
      <c r="E24" s="15">
        <f>IFERROR(AVERAGEIF('Cleaned Data'!E2:E81,A24,'Cleaned Data'!G2:G81),0)</f>
        <v>4432.88</v>
      </c>
      <c r="F24" s="2" t="str">
        <f t="shared" si="0"/>
        <v>⭐ High</v>
      </c>
    </row>
    <row r="25" spans="1:6" x14ac:dyDescent="0.3">
      <c r="A25" s="3" t="s">
        <v>303</v>
      </c>
      <c r="B25" s="3" t="s">
        <v>24</v>
      </c>
      <c r="C25" s="3">
        <f>COUNTIF('Cleaned Data'!E2:E81,A25)</f>
        <v>4</v>
      </c>
      <c r="D25" s="17">
        <f>SUMIF('Cleaned Data'!E2:E81,A25,'Cleaned Data'!J2:J81)</f>
        <v>61379.311000000002</v>
      </c>
      <c r="E25" s="17">
        <f>IFERROR(AVERAGEIF('Cleaned Data'!E2:E81,A25,'Cleaned Data'!G2:G81),0)</f>
        <v>3379.3125</v>
      </c>
      <c r="F25" s="3" t="str">
        <f t="shared" si="0"/>
        <v>⭐ High</v>
      </c>
    </row>
    <row r="26" spans="1:6" x14ac:dyDescent="0.3">
      <c r="A26" s="2" t="s">
        <v>25</v>
      </c>
      <c r="B26" s="2" t="s">
        <v>24</v>
      </c>
      <c r="C26" s="2">
        <f>COUNTIF('Cleaned Data'!E2:E81,A26)</f>
        <v>3</v>
      </c>
      <c r="D26" s="15">
        <f>SUMIF('Cleaned Data'!E2:E81,A26,'Cleaned Data'!J2:J81)</f>
        <v>28077.622000000003</v>
      </c>
      <c r="E26" s="15">
        <f>IFERROR(AVERAGEIF('Cleaned Data'!E2:E81,A26,'Cleaned Data'!G2:G81),0)</f>
        <v>4616.7300000000005</v>
      </c>
      <c r="F26" s="2" t="str">
        <f t="shared" si="0"/>
        <v>⭐ High</v>
      </c>
    </row>
    <row r="27" spans="1:6" x14ac:dyDescent="0.3">
      <c r="A27" s="3" t="s">
        <v>107</v>
      </c>
      <c r="B27" s="3" t="s">
        <v>24</v>
      </c>
      <c r="C27" s="3">
        <f>COUNTIF('Cleaned Data'!E2:E81,A27)</f>
        <v>0</v>
      </c>
      <c r="D27" s="17">
        <f>SUMIF('Cleaned Data'!E2:E81,A27,'Cleaned Data'!J2:J81)</f>
        <v>0</v>
      </c>
      <c r="E27" s="17">
        <f>IFERROR(AVERAGEIF('Cleaned Data'!E2:E81,A27,'Cleaned Data'!G2:G81),0)</f>
        <v>0</v>
      </c>
      <c r="F27" s="3" t="str">
        <f t="shared" si="0"/>
        <v>🔻 Low</v>
      </c>
    </row>
    <row r="28" spans="1:6" x14ac:dyDescent="0.3">
      <c r="A28" s="2" t="s">
        <v>41</v>
      </c>
      <c r="B28" s="2" t="s">
        <v>24</v>
      </c>
      <c r="C28" s="2">
        <f>COUNTIF('Cleaned Data'!E2:E81,A28)</f>
        <v>5</v>
      </c>
      <c r="D28" s="15">
        <f>SUMIF('Cleaned Data'!E2:E81,A28,'Cleaned Data'!J2:J81)</f>
        <v>141465.802</v>
      </c>
      <c r="E28" s="15">
        <f>IFERROR(AVERAGEIF('Cleaned Data'!E2:E81,A28,'Cleaned Data'!G2:G81),0)</f>
        <v>4868.848</v>
      </c>
      <c r="F28" s="2" t="str">
        <f t="shared" si="0"/>
        <v>⭐ High</v>
      </c>
    </row>
    <row r="29" spans="1:6" x14ac:dyDescent="0.3">
      <c r="A29" s="3" t="s">
        <v>151</v>
      </c>
      <c r="B29" s="3" t="s">
        <v>55</v>
      </c>
      <c r="C29" s="3">
        <f>COUNTIF('Cleaned Data'!E2:E81,A29)</f>
        <v>3</v>
      </c>
      <c r="D29" s="17">
        <f>SUMIF('Cleaned Data'!E2:E81,A29,'Cleaned Data'!J2:J81)</f>
        <v>50982.700000000004</v>
      </c>
      <c r="E29" s="17">
        <f>IFERROR(AVERAGEIF('Cleaned Data'!E2:E81,A29,'Cleaned Data'!G2:G81),0)</f>
        <v>2863.9500000000003</v>
      </c>
      <c r="F29" s="3" t="str">
        <f t="shared" si="0"/>
        <v>⭐ High</v>
      </c>
    </row>
    <row r="30" spans="1:6" x14ac:dyDescent="0.3">
      <c r="A30" s="2" t="s">
        <v>56</v>
      </c>
      <c r="B30" s="2" t="s">
        <v>55</v>
      </c>
      <c r="C30" s="2">
        <f>COUNTIF('Cleaned Data'!E2:E81,A30)</f>
        <v>1</v>
      </c>
      <c r="D30" s="15">
        <f>SUMIF('Cleaned Data'!E2:E81,A30,'Cleaned Data'!J2:J81)</f>
        <v>14235.120000000003</v>
      </c>
      <c r="E30" s="15">
        <f>IFERROR(AVERAGEIF('Cleaned Data'!E2:E81,A30,'Cleaned Data'!G2:G81),0)</f>
        <v>5931.3</v>
      </c>
      <c r="F30" s="2" t="str">
        <f t="shared" si="0"/>
        <v>⭐ High</v>
      </c>
    </row>
    <row r="31" spans="1:6" x14ac:dyDescent="0.3">
      <c r="A31" s="3" t="s">
        <v>186</v>
      </c>
      <c r="B31" s="3" t="s">
        <v>55</v>
      </c>
      <c r="C31" s="3">
        <f>COUNTIF('Cleaned Data'!E2:E81,A31)</f>
        <v>2</v>
      </c>
      <c r="D31" s="17">
        <f>SUMIF('Cleaned Data'!E2:E81,A31,'Cleaned Data'!J2:J81)</f>
        <v>40395.119999999995</v>
      </c>
      <c r="E31" s="17">
        <f>IFERROR(AVERAGEIF('Cleaned Data'!E2:E81,A31,'Cleaned Data'!G2:G81),0)</f>
        <v>3095.4349999999999</v>
      </c>
      <c r="F31" s="3" t="str">
        <f t="shared" si="0"/>
        <v>⭐ High</v>
      </c>
    </row>
    <row r="32" spans="1:6" x14ac:dyDescent="0.3">
      <c r="A32" s="2" t="s">
        <v>225</v>
      </c>
      <c r="B32" s="2" t="s">
        <v>55</v>
      </c>
      <c r="C32" s="2">
        <f>COUNTIF('Cleaned Data'!E2:E81,A32)</f>
        <v>1</v>
      </c>
      <c r="D32" s="15">
        <f>SUMIF('Cleaned Data'!E2:E81,A32,'Cleaned Data'!J2:J81)</f>
        <v>34973.693999999996</v>
      </c>
      <c r="E32" s="15">
        <f>IFERROR(AVERAGEIF('Cleaned Data'!E2:E81,A32,'Cleaned Data'!G2:G81),0)</f>
        <v>4317.74</v>
      </c>
      <c r="F32" s="2" t="str">
        <f t="shared" si="0"/>
        <v>⭐ High</v>
      </c>
    </row>
    <row r="33" spans="1:6" x14ac:dyDescent="0.3">
      <c r="A33" s="3" t="s">
        <v>325</v>
      </c>
      <c r="B33" s="3" t="s">
        <v>55</v>
      </c>
      <c r="C33" s="3">
        <f>COUNTIF('Cleaned Data'!E2:E81,A33)</f>
        <v>3</v>
      </c>
      <c r="D33" s="17">
        <f>SUMIF('Cleaned Data'!E2:E81,A33,'Cleaned Data'!J2:J81)</f>
        <v>28618.0455</v>
      </c>
      <c r="E33" s="17">
        <f>IFERROR(AVERAGEIF('Cleaned Data'!E2:E81,A33,'Cleaned Data'!G2:G81),0)</f>
        <v>1728.45</v>
      </c>
      <c r="F33" s="3" t="str">
        <f t="shared" si="0"/>
        <v>⭐ High</v>
      </c>
    </row>
    <row r="34" spans="1:6" x14ac:dyDescent="0.3">
      <c r="A34" s="2" t="s">
        <v>16</v>
      </c>
      <c r="B34" s="2" t="s">
        <v>15</v>
      </c>
      <c r="C34" s="2">
        <f>COUNTIF('Cleaned Data'!E2:E81,A34)</f>
        <v>0</v>
      </c>
      <c r="D34" s="15">
        <f>SUMIF('Cleaned Data'!E2:E81,A34,'Cleaned Data'!J2:J81)</f>
        <v>0</v>
      </c>
      <c r="E34" s="15">
        <f>IFERROR(AVERAGEIF('Cleaned Data'!E2:E81,A34,'Cleaned Data'!G2:G81),0)</f>
        <v>0</v>
      </c>
      <c r="F34" s="2" t="str">
        <f t="shared" si="0"/>
        <v>🔻 Low</v>
      </c>
    </row>
    <row r="35" spans="1:6" x14ac:dyDescent="0.3">
      <c r="A35" s="3" t="s">
        <v>98</v>
      </c>
      <c r="B35" s="3" t="s">
        <v>15</v>
      </c>
      <c r="C35" s="3">
        <f>COUNTIF('Cleaned Data'!E2:E81,A35)</f>
        <v>1</v>
      </c>
      <c r="D35" s="17">
        <f>SUMIF('Cleaned Data'!E2:E81,A35,'Cleaned Data'!J2:J81)</f>
        <v>6110.2160000000003</v>
      </c>
      <c r="E35" s="17">
        <f>IFERROR(AVERAGEIF('Cleaned Data'!E2:E81,A35,'Cleaned Data'!G2:G81),0)</f>
        <v>1091.1099999999999</v>
      </c>
      <c r="F35" s="3" t="str">
        <f t="shared" si="0"/>
        <v>⭐ High</v>
      </c>
    </row>
    <row r="36" spans="1:6" x14ac:dyDescent="0.3">
      <c r="A36" s="2" t="s">
        <v>85</v>
      </c>
      <c r="B36" s="2" t="s">
        <v>15</v>
      </c>
      <c r="C36" s="2">
        <f>COUNTIF('Cleaned Data'!E2:E81,A36)</f>
        <v>3</v>
      </c>
      <c r="D36" s="15">
        <f>SUMIF('Cleaned Data'!E2:E81,A36,'Cleaned Data'!J2:J81)</f>
        <v>30211.057500000003</v>
      </c>
      <c r="E36" s="15">
        <f>IFERROR(AVERAGEIF('Cleaned Data'!E2:E81,A36,'Cleaned Data'!G2:G81),0)</f>
        <v>3917.58</v>
      </c>
      <c r="F36" s="2" t="str">
        <f t="shared" si="0"/>
        <v>⭐ High</v>
      </c>
    </row>
    <row r="37" spans="1:6" x14ac:dyDescent="0.3">
      <c r="A37" s="3" t="s">
        <v>173</v>
      </c>
      <c r="B37" s="3" t="s">
        <v>15</v>
      </c>
      <c r="C37" s="3">
        <f>COUNTIF('Cleaned Data'!E2:E81,A37)</f>
        <v>5</v>
      </c>
      <c r="D37" s="17">
        <f>SUMIF('Cleaned Data'!E2:E81,A37,'Cleaned Data'!J2:J81)</f>
        <v>44503.651499999993</v>
      </c>
      <c r="E37" s="17">
        <f>IFERROR(AVERAGEIF('Cleaned Data'!E2:E81,A37,'Cleaned Data'!G2:G81),0)</f>
        <v>3118.9019999999996</v>
      </c>
      <c r="F37" s="3" t="str">
        <f t="shared" si="0"/>
        <v>⭐ High</v>
      </c>
    </row>
    <row r="38" spans="1:6" x14ac:dyDescent="0.3">
      <c r="A38" s="2" t="s">
        <v>35</v>
      </c>
      <c r="B38" s="2" t="s">
        <v>15</v>
      </c>
      <c r="C38" s="2">
        <f>COUNTIF('Cleaned Data'!E2:E81,A38)</f>
        <v>3</v>
      </c>
      <c r="D38" s="15">
        <f>SUMIF('Cleaned Data'!E2:E81,A38,'Cleaned Data'!J2:J81)</f>
        <v>80299.758000000002</v>
      </c>
      <c r="E38" s="15">
        <f>IFERROR(AVERAGEIF('Cleaned Data'!E2:E81,A38,'Cleaned Data'!G2:G81),0)</f>
        <v>6161.586666666667</v>
      </c>
      <c r="F38" s="2" t="str">
        <f t="shared" si="0"/>
        <v>⭐ High</v>
      </c>
    </row>
  </sheetData>
  <mergeCells count="1">
    <mergeCell ref="A1:F1"/>
  </mergeCells>
  <conditionalFormatting sqref="D4:D38">
    <cfRule type="colorScale" priority="2">
      <colorScale>
        <cfvo type="min"/>
        <cfvo type="percentile" val="50"/>
        <cfvo type="max"/>
        <color rgb="FFFF0000"/>
        <color rgb="FFFFFF00"/>
        <color rgb="FF00B050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 (Dirty)</vt:lpstr>
      <vt:lpstr>Data Cleaning Log</vt:lpstr>
      <vt:lpstr>Cleaned Data</vt:lpstr>
      <vt:lpstr>Summary &amp; KPIs</vt:lpstr>
      <vt:lpstr>Dashboard</vt:lpstr>
      <vt:lpstr>Product Lookup</vt:lpstr>
      <vt:lpstr>Monthly Trend</vt:lpstr>
      <vt:lpstr>Top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Anirban Dey</cp:lastModifiedBy>
  <cp:revision>1</cp:revision>
  <dcterms:created xsi:type="dcterms:W3CDTF">2026-05-23T08:03:20Z</dcterms:created>
  <dcterms:modified xsi:type="dcterms:W3CDTF">2026-05-26T14:53:56Z</dcterms:modified>
  <dc:language>en-US</dc:language>
</cp:coreProperties>
</file>